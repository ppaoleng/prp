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rength_raw" sheetId="2" state="visible" r:id="rId2"/>
    <sheet xmlns:r="http://schemas.openxmlformats.org/officeDocument/2006/relationships" name="Strength_summary" sheetId="3" state="visible" r:id="rId3"/>
    <sheet xmlns:r="http://schemas.openxmlformats.org/officeDocument/2006/relationships" name="Density" sheetId="4" state="visible" r:id="rId4"/>
    <sheet xmlns:r="http://schemas.openxmlformats.org/officeDocument/2006/relationships" name="Absorption" sheetId="5" state="visible" r:id="rId5"/>
    <sheet xmlns:r="http://schemas.openxmlformats.org/officeDocument/2006/relationships" name="Maturity" sheetId="6" state="visible" r:id="rId6"/>
    <sheet xmlns:r="http://schemas.openxmlformats.org/officeDocument/2006/relationships" name="LCA" sheetId="7" state="visible" r:id="rId7"/>
    <sheet xmlns:r="http://schemas.openxmlformats.org/officeDocument/2006/relationships" name="Cost" sheetId="8" state="visible" r:id="rId8"/>
    <sheet xmlns:r="http://schemas.openxmlformats.org/officeDocument/2006/relationships" name="BPN_PLACEHOLD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E8E8E4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28-d compressive strength (reported means, MPa)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'Strength_summary'!$B$32:$B$40</f>
            </numRef>
          </cat>
          <val>
            <numRef>
              <f>'Strength_summary'!$C$32:$C$40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MPa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GWP, scenario A vs B (kg CO2e / m3) — screening</a:t>
            </a:r>
          </a:p>
        </rich>
      </tx>
    </title>
    <plotArea>
      <barChart>
        <barDir val="col"/>
        <grouping val="clustered"/>
        <ser>
          <idx val="0"/>
          <order val="0"/>
          <tx>
            <v>A (no credit)</v>
          </tx>
          <spPr>
            <a:ln xmlns:a="http://schemas.openxmlformats.org/drawingml/2006/main">
              <a:prstDash val="solid"/>
            </a:ln>
          </spPr>
          <cat>
            <numRef>
              <f>'LCA'!$A$14:$A$24</f>
            </numRef>
          </cat>
          <val>
            <numRef>
              <f>'LCA'!$L$14:$L$24</f>
            </numRef>
          </val>
        </ser>
        <ser>
          <idx val="1"/>
          <order val="1"/>
          <tx>
            <v>B (storage credit)</v>
          </tx>
          <spPr>
            <a:ln xmlns:a="http://schemas.openxmlformats.org/drawingml/2006/main">
              <a:prstDash val="solid"/>
            </a:ln>
          </spPr>
          <cat>
            <numRef>
              <f>'LCA'!$A$14:$A$24</f>
            </numRef>
          </cat>
          <val>
            <numRef>
              <f>'LCA'!$N$14:$N$24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PRP 2569 — analysis workbook (v2 of the full report)</t>
        </is>
      </c>
    </row>
    <row r="2">
      <c r="A2" s="1" t="inlineStr">
        <is>
          <t>Source</t>
        </is>
      </c>
      <c r="B2" s="2" t="inlineStr">
        <is>
          <t>Built from the tables of the draft '2.PRP_รายงานฉบับสมบูรณ์ 2569 [DRAFT].docx'. No .xlsx was supplied with the draft.</t>
        </is>
      </c>
    </row>
    <row r="3">
      <c r="A3" s="1" t="inlineStr">
        <is>
          <t>Status colours</t>
        </is>
      </c>
      <c r="B3" s="2" t="inlineStr">
        <is>
          <t>Black = value recorded in the draft.  Bold red = [Place Holder] (not measured / assumed; must be replaced before publication).  Yellow cells = editable inputs (emission factors, price ratio r).</t>
        </is>
      </c>
    </row>
    <row r="4">
      <c r="A4" s="1" t="inlineStr">
        <is>
          <t>Strength_raw</t>
        </is>
      </c>
      <c r="B4" s="2" t="inlineStr">
        <is>
          <t>Per-specimen compressive strength (MPa). Three draft cells have a number but no original record: they are NOT in the specimen columns (so AVERAGE/STDEV ignore them); their draft values are listed in the red 'PH' columns.</t>
        </is>
      </c>
    </row>
    <row r="5">
      <c r="A5" s="1" t="inlineStr">
        <is>
          <t>Strength_summary</t>
        </is>
      </c>
      <c r="B5" s="2" t="inlineStr">
        <is>
          <t>Live formulas: n, mean, SD, CV, difference to the reported mean, and 28-d % change vs control.</t>
        </is>
      </c>
    </row>
    <row r="6">
      <c r="A6" s="1" t="inlineStr">
        <is>
          <t>Density / Absorption</t>
        </is>
      </c>
      <c r="B6" s="2" t="inlineStr">
        <is>
          <t>Per-specimen density = mass / volume and absorption = (wet-dry)/dry x 100 (formulas).</t>
        </is>
      </c>
    </row>
    <row r="7">
      <c r="A7" s="1" t="inlineStr">
        <is>
          <t>Maturity</t>
        </is>
      </c>
      <c r="B7" s="2" t="inlineStr">
        <is>
          <t>EN 1992-1-1 maturity factor beta(t)=exp{s[1-(28/t)^0.5]}: s is a yellow input; compare predicted with measured f(t)/f(28).</t>
        </is>
      </c>
    </row>
    <row r="8">
      <c r="A8" s="1" t="inlineStr">
        <is>
          <t>LCA</t>
        </is>
      </c>
      <c r="B8" s="2" t="inlineStr">
        <is>
          <t>Screening cradle-to-gate GWP (functional unit 1 m3 of block).  Emission factors are ASSUMED (yellow, red); change them and every result updates.</t>
        </is>
      </c>
    </row>
    <row r="9">
      <c r="A9" s="1" t="inlineStr">
        <is>
          <t>Cost</t>
        </is>
      </c>
      <c r="B9" s="2" t="inlineStr">
        <is>
          <t>Relative material cost vs RA as a function of the biochar price ratio r (yellow input).</t>
        </is>
      </c>
    </row>
    <row r="10">
      <c r="A10" s="1" t="inlineStr">
        <is>
          <t>BPN_PLACEHOLDER</t>
        </is>
      </c>
      <c r="B10" s="2" t="inlineStr">
        <is>
          <t>Hypothetical British Pendulum Numbers (all red). NOT measurements.</t>
        </is>
      </c>
    </row>
    <row r="11">
      <c r="A11" s="1" t="inlineStr">
        <is>
          <t>Charts</t>
        </is>
      </c>
      <c r="B11" s="2" t="inlineStr">
        <is>
          <t>Native Excel charts built from the sheets above.</t>
        </is>
      </c>
    </row>
    <row r="12">
      <c r="A12" s="1" t="inlineStr">
        <is>
          <t>Reproducibility</t>
        </is>
      </c>
      <c r="B12" s="2" t="inlineStr">
        <is>
          <t>All numbers are produced by the scripts in report/scripts (seeds fixed). See report/docs/CHANGELOG_and_review_notes.md.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series</t>
        </is>
      </c>
      <c r="B1" s="3" t="inlineStr">
        <is>
          <t>mix</t>
        </is>
      </c>
      <c r="C1" s="3" t="inlineStr">
        <is>
          <t>age_d</t>
        </is>
      </c>
      <c r="D1" s="3" t="inlineStr">
        <is>
          <t>spec1_MPa</t>
        </is>
      </c>
      <c r="E1" s="3" t="inlineStr">
        <is>
          <t>spec2_MPa</t>
        </is>
      </c>
      <c r="F1" s="3" t="inlineStr">
        <is>
          <t>spec3_MPa</t>
        </is>
      </c>
      <c r="G1" s="3" t="inlineStr">
        <is>
          <t>reported_mean</t>
        </is>
      </c>
      <c r="H1" s="3" t="inlineStr">
        <is>
          <t>PH spec1</t>
        </is>
      </c>
      <c r="I1" s="3" t="inlineStr">
        <is>
          <t>PH spec2</t>
        </is>
      </c>
      <c r="J1" s="3" t="inlineStr">
        <is>
          <t>PH spec3</t>
        </is>
      </c>
    </row>
    <row r="2">
      <c r="A2" t="inlineStr">
        <is>
          <t>I</t>
        </is>
      </c>
      <c r="B2" t="inlineStr">
        <is>
          <t>NA</t>
        </is>
      </c>
      <c r="C2" t="n">
        <v>7</v>
      </c>
      <c r="D2" t="n">
        <v>56</v>
      </c>
      <c r="E2" t="n">
        <v>69</v>
      </c>
      <c r="F2" t="n">
        <v>72</v>
      </c>
      <c r="G2" t="n">
        <v>65.7</v>
      </c>
    </row>
    <row r="3">
      <c r="A3" t="inlineStr">
        <is>
          <t>I</t>
        </is>
      </c>
      <c r="B3" t="inlineStr">
        <is>
          <t>NA</t>
        </is>
      </c>
      <c r="C3" t="n">
        <v>14</v>
      </c>
      <c r="E3" t="n">
        <v>80</v>
      </c>
      <c r="F3" t="n">
        <v>82</v>
      </c>
      <c r="G3" t="n">
        <v>81.06</v>
      </c>
      <c r="H3" s="4" t="n">
        <v>81</v>
      </c>
    </row>
    <row r="4">
      <c r="A4" t="inlineStr">
        <is>
          <t>I</t>
        </is>
      </c>
      <c r="B4" t="inlineStr">
        <is>
          <t>NA</t>
        </is>
      </c>
      <c r="C4" t="n">
        <v>28</v>
      </c>
      <c r="D4" t="n">
        <v>89</v>
      </c>
      <c r="E4" t="n">
        <v>84</v>
      </c>
      <c r="F4" t="n">
        <v>101</v>
      </c>
      <c r="G4" t="n">
        <v>91.54000000000001</v>
      </c>
    </row>
    <row r="5">
      <c r="A5" t="inlineStr">
        <is>
          <t>I</t>
        </is>
      </c>
      <c r="B5" t="inlineStr">
        <is>
          <t>RA</t>
        </is>
      </c>
      <c r="C5" t="n">
        <v>7</v>
      </c>
      <c r="D5" t="n">
        <v>29</v>
      </c>
      <c r="E5" t="n">
        <v>32</v>
      </c>
      <c r="G5" t="n">
        <v>30.78</v>
      </c>
      <c r="J5" s="4" t="n">
        <v>30</v>
      </c>
    </row>
    <row r="6">
      <c r="A6" t="inlineStr">
        <is>
          <t>I</t>
        </is>
      </c>
      <c r="B6" t="inlineStr">
        <is>
          <t>RA</t>
        </is>
      </c>
      <c r="C6" t="n">
        <v>14</v>
      </c>
      <c r="D6" t="n">
        <v>43</v>
      </c>
      <c r="F6" t="n">
        <v>44</v>
      </c>
      <c r="G6" t="n">
        <v>43.44</v>
      </c>
      <c r="I6" s="4" t="n">
        <v>44</v>
      </c>
    </row>
    <row r="7">
      <c r="A7" t="inlineStr">
        <is>
          <t>I</t>
        </is>
      </c>
      <c r="B7" t="inlineStr">
        <is>
          <t>RA</t>
        </is>
      </c>
      <c r="C7" t="n">
        <v>28</v>
      </c>
      <c r="D7" t="n">
        <v>54</v>
      </c>
      <c r="E7" t="n">
        <v>63</v>
      </c>
      <c r="F7" t="n">
        <v>65</v>
      </c>
      <c r="G7" t="n">
        <v>60.46</v>
      </c>
    </row>
    <row r="8">
      <c r="A8" t="inlineStr">
        <is>
          <t>I</t>
        </is>
      </c>
      <c r="B8" t="inlineStr">
        <is>
          <t>Rab5</t>
        </is>
      </c>
      <c r="C8" t="n">
        <v>7</v>
      </c>
      <c r="D8" t="n">
        <v>36</v>
      </c>
      <c r="E8" t="n">
        <v>39</v>
      </c>
      <c r="F8" t="n">
        <v>43</v>
      </c>
      <c r="G8" t="n">
        <v>39.15</v>
      </c>
    </row>
    <row r="9">
      <c r="A9" t="inlineStr">
        <is>
          <t>I</t>
        </is>
      </c>
      <c r="B9" t="inlineStr">
        <is>
          <t>Rab5</t>
        </is>
      </c>
      <c r="C9" t="n">
        <v>14</v>
      </c>
      <c r="D9" t="n">
        <v>41</v>
      </c>
      <c r="E9" t="n">
        <v>41</v>
      </c>
      <c r="F9" t="n">
        <v>46</v>
      </c>
      <c r="G9" t="n">
        <v>42.63</v>
      </c>
    </row>
    <row r="10">
      <c r="A10" t="inlineStr">
        <is>
          <t>I</t>
        </is>
      </c>
      <c r="B10" t="inlineStr">
        <is>
          <t>Rab5</t>
        </is>
      </c>
      <c r="C10" t="n">
        <v>28</v>
      </c>
      <c r="D10" t="n">
        <v>51</v>
      </c>
      <c r="E10" t="n">
        <v>54</v>
      </c>
      <c r="F10" t="n">
        <v>51</v>
      </c>
      <c r="G10" t="n">
        <v>51.85</v>
      </c>
    </row>
    <row r="11">
      <c r="A11" t="inlineStr">
        <is>
          <t>I</t>
        </is>
      </c>
      <c r="B11" t="inlineStr">
        <is>
          <t>Rab10</t>
        </is>
      </c>
      <c r="C11" t="n">
        <v>7</v>
      </c>
      <c r="D11" t="n">
        <v>26</v>
      </c>
      <c r="E11" t="n">
        <v>29</v>
      </c>
      <c r="F11" t="n">
        <v>28</v>
      </c>
      <c r="G11" t="n">
        <v>27.72</v>
      </c>
    </row>
    <row r="12">
      <c r="A12" t="inlineStr">
        <is>
          <t>I</t>
        </is>
      </c>
      <c r="B12" t="inlineStr">
        <is>
          <t>Rab10</t>
        </is>
      </c>
      <c r="C12" t="n">
        <v>14</v>
      </c>
      <c r="D12" t="n">
        <v>41</v>
      </c>
      <c r="E12" t="n">
        <v>35</v>
      </c>
      <c r="F12" t="n">
        <v>38</v>
      </c>
      <c r="G12" t="n">
        <v>38.26</v>
      </c>
    </row>
    <row r="13">
      <c r="A13" t="inlineStr">
        <is>
          <t>I</t>
        </is>
      </c>
      <c r="B13" t="inlineStr">
        <is>
          <t>Rab10</t>
        </is>
      </c>
      <c r="C13" t="n">
        <v>28</v>
      </c>
      <c r="D13" t="n">
        <v>44</v>
      </c>
      <c r="E13" t="n">
        <v>38</v>
      </c>
      <c r="F13" t="n">
        <v>36</v>
      </c>
      <c r="G13" t="n">
        <v>39.37</v>
      </c>
    </row>
    <row r="14">
      <c r="A14" t="inlineStr">
        <is>
          <t>I</t>
        </is>
      </c>
      <c r="B14" t="inlineStr">
        <is>
          <t>Rab15</t>
        </is>
      </c>
      <c r="C14" t="n">
        <v>7</v>
      </c>
      <c r="D14" t="n">
        <v>27</v>
      </c>
      <c r="E14" t="n">
        <v>28</v>
      </c>
      <c r="F14" t="n">
        <v>32</v>
      </c>
      <c r="G14" t="n">
        <v>29.02</v>
      </c>
    </row>
    <row r="15">
      <c r="A15" t="inlineStr">
        <is>
          <t>I</t>
        </is>
      </c>
      <c r="B15" t="inlineStr">
        <is>
          <t>Rab15</t>
        </is>
      </c>
      <c r="C15" t="n">
        <v>14</v>
      </c>
      <c r="D15" t="n">
        <v>37</v>
      </c>
      <c r="E15" t="n">
        <v>34</v>
      </c>
      <c r="F15" t="n">
        <v>35</v>
      </c>
      <c r="G15" t="n">
        <v>35.37</v>
      </c>
    </row>
    <row r="16">
      <c r="A16" t="inlineStr">
        <is>
          <t>I</t>
        </is>
      </c>
      <c r="B16" t="inlineStr">
        <is>
          <t>Rab15</t>
        </is>
      </c>
      <c r="C16" t="n">
        <v>28</v>
      </c>
      <c r="D16" t="n">
        <v>37</v>
      </c>
      <c r="E16" t="n">
        <v>40</v>
      </c>
      <c r="F16" t="n">
        <v>38</v>
      </c>
      <c r="G16" t="n">
        <v>37.93</v>
      </c>
    </row>
    <row r="17">
      <c r="A17" t="inlineStr">
        <is>
          <t>II</t>
        </is>
      </c>
      <c r="B17" t="inlineStr">
        <is>
          <t>RCA0</t>
        </is>
      </c>
      <c r="C17" t="n">
        <v>7</v>
      </c>
      <c r="D17" t="n">
        <v>22.81</v>
      </c>
      <c r="E17" t="n">
        <v>23.07</v>
      </c>
      <c r="F17" t="n">
        <v>24.13</v>
      </c>
      <c r="G17" t="n">
        <v>23.33</v>
      </c>
    </row>
    <row r="18">
      <c r="A18" t="inlineStr">
        <is>
          <t>II</t>
        </is>
      </c>
      <c r="B18" t="inlineStr">
        <is>
          <t>RCA0</t>
        </is>
      </c>
      <c r="C18" t="n">
        <v>14</v>
      </c>
      <c r="D18" t="n">
        <v>41.99</v>
      </c>
      <c r="E18" t="n">
        <v>45.27</v>
      </c>
      <c r="F18" t="n">
        <v>54.05</v>
      </c>
      <c r="G18" t="n">
        <v>47.1</v>
      </c>
    </row>
    <row r="19">
      <c r="A19" t="inlineStr">
        <is>
          <t>II</t>
        </is>
      </c>
      <c r="B19" t="inlineStr">
        <is>
          <t>RCA0</t>
        </is>
      </c>
      <c r="C19" t="n">
        <v>28</v>
      </c>
      <c r="D19" t="n">
        <v>56.72</v>
      </c>
      <c r="E19" t="n">
        <v>52.96</v>
      </c>
      <c r="F19" t="n">
        <v>56.59</v>
      </c>
      <c r="G19" t="n">
        <v>55.43</v>
      </c>
    </row>
    <row r="20">
      <c r="A20" t="inlineStr">
        <is>
          <t>II</t>
        </is>
      </c>
      <c r="B20" t="inlineStr">
        <is>
          <t>RCA5</t>
        </is>
      </c>
      <c r="C20" t="n">
        <v>7</v>
      </c>
      <c r="D20" t="n">
        <v>23.01</v>
      </c>
      <c r="E20" t="n">
        <v>23.63</v>
      </c>
      <c r="F20" t="n">
        <v>29.22</v>
      </c>
      <c r="G20" t="n">
        <v>25.29</v>
      </c>
    </row>
    <row r="21">
      <c r="A21" t="inlineStr">
        <is>
          <t>II</t>
        </is>
      </c>
      <c r="B21" t="inlineStr">
        <is>
          <t>RCA5</t>
        </is>
      </c>
      <c r="C21" t="n">
        <v>14</v>
      </c>
      <c r="D21" t="n">
        <v>42.43</v>
      </c>
      <c r="E21" t="n">
        <v>50.9</v>
      </c>
      <c r="F21" t="n">
        <v>52.84</v>
      </c>
      <c r="G21" t="n">
        <v>48.72</v>
      </c>
    </row>
    <row r="22">
      <c r="A22" t="inlineStr">
        <is>
          <t>II</t>
        </is>
      </c>
      <c r="B22" t="inlineStr">
        <is>
          <t>RCA5</t>
        </is>
      </c>
      <c r="C22" t="n">
        <v>28</v>
      </c>
      <c r="D22" t="n">
        <v>60.13</v>
      </c>
      <c r="E22" t="n">
        <v>60.86</v>
      </c>
      <c r="F22" t="n">
        <v>56.95</v>
      </c>
      <c r="G22" t="n">
        <v>59.31</v>
      </c>
    </row>
    <row r="23">
      <c r="A23" t="inlineStr">
        <is>
          <t>II</t>
        </is>
      </c>
      <c r="B23" t="inlineStr">
        <is>
          <t>RCA10</t>
        </is>
      </c>
      <c r="C23" t="n">
        <v>7</v>
      </c>
      <c r="D23" t="n">
        <v>27.34</v>
      </c>
      <c r="E23" t="n">
        <v>27.93</v>
      </c>
      <c r="F23" t="n">
        <v>30.01</v>
      </c>
      <c r="G23" t="n">
        <v>28.43</v>
      </c>
    </row>
    <row r="24">
      <c r="A24" t="inlineStr">
        <is>
          <t>II</t>
        </is>
      </c>
      <c r="B24" t="inlineStr">
        <is>
          <t>RCA10</t>
        </is>
      </c>
      <c r="C24" t="n">
        <v>14</v>
      </c>
      <c r="D24" t="n">
        <v>53.15</v>
      </c>
      <c r="E24" t="n">
        <v>51.33</v>
      </c>
      <c r="F24" t="n">
        <v>55.78</v>
      </c>
      <c r="G24" t="n">
        <v>53.42</v>
      </c>
    </row>
    <row r="25">
      <c r="A25" t="inlineStr">
        <is>
          <t>II</t>
        </is>
      </c>
      <c r="B25" t="inlineStr">
        <is>
          <t>RCA10</t>
        </is>
      </c>
      <c r="C25" t="n">
        <v>28</v>
      </c>
      <c r="D25" t="n">
        <v>60.67</v>
      </c>
      <c r="E25" t="n">
        <v>61.8</v>
      </c>
      <c r="F25" t="n">
        <v>61.55</v>
      </c>
      <c r="G25" t="n">
        <v>61.34</v>
      </c>
    </row>
    <row r="26">
      <c r="A26" t="inlineStr">
        <is>
          <t>II</t>
        </is>
      </c>
      <c r="B26" t="inlineStr">
        <is>
          <t>RCA15</t>
        </is>
      </c>
      <c r="C26" t="n">
        <v>7</v>
      </c>
      <c r="D26" t="n">
        <v>34.4</v>
      </c>
      <c r="E26" t="n">
        <v>32.17</v>
      </c>
      <c r="F26" t="n">
        <v>36.26</v>
      </c>
      <c r="G26" t="n">
        <v>34.28</v>
      </c>
    </row>
    <row r="27">
      <c r="A27" t="inlineStr">
        <is>
          <t>II</t>
        </is>
      </c>
      <c r="B27" t="inlineStr">
        <is>
          <t>RCA15</t>
        </is>
      </c>
      <c r="C27" t="n">
        <v>14</v>
      </c>
      <c r="D27" t="n">
        <v>53.36</v>
      </c>
      <c r="E27" t="n">
        <v>53.84</v>
      </c>
      <c r="F27" t="n">
        <v>57.14</v>
      </c>
      <c r="G27" t="n">
        <v>54.78</v>
      </c>
    </row>
    <row r="28">
      <c r="A28" t="inlineStr">
        <is>
          <t>II</t>
        </is>
      </c>
      <c r="B28" t="inlineStr">
        <is>
          <t>RCA15</t>
        </is>
      </c>
      <c r="C28" t="n">
        <v>28</v>
      </c>
      <c r="D28" t="n">
        <v>61.58</v>
      </c>
      <c r="E28" t="n">
        <v>62.44</v>
      </c>
      <c r="F28" t="n">
        <v>62.55</v>
      </c>
      <c r="G28" t="n">
        <v>62.19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6" customWidth="1" min="4" max="4"/>
    <col width="18" customWidth="1" min="5" max="5"/>
    <col width="8" customWidth="1" min="6" max="6"/>
    <col width="8" customWidth="1" min="7" max="7"/>
    <col width="14" customWidth="1" min="8" max="8"/>
    <col width="20" customWidth="1" min="9" max="9"/>
    <col width="22" customWidth="1" min="10" max="10"/>
  </cols>
  <sheetData>
    <row r="1">
      <c r="A1" s="3" t="inlineStr">
        <is>
          <t>series</t>
        </is>
      </c>
      <c r="B1" s="3" t="inlineStr">
        <is>
          <t>mix</t>
        </is>
      </c>
      <c r="C1" s="3" t="inlineStr">
        <is>
          <t>age_d</t>
        </is>
      </c>
      <c r="D1" s="3" t="inlineStr">
        <is>
          <t>n</t>
        </is>
      </c>
      <c r="E1" s="3" t="inlineStr">
        <is>
          <t>mean (recomputed)</t>
        </is>
      </c>
      <c r="F1" s="3" t="inlineStr">
        <is>
          <t>SD</t>
        </is>
      </c>
      <c r="G1" s="3" t="inlineStr">
        <is>
          <t>CV %</t>
        </is>
      </c>
      <c r="H1" s="3" t="inlineStr">
        <is>
          <t>reported mean</t>
        </is>
      </c>
      <c r="I1" s="3" t="inlineStr">
        <is>
          <t>recomputed - reported</t>
        </is>
      </c>
      <c r="J1" s="3" t="inlineStr">
        <is>
          <t>28-d % vs series control</t>
        </is>
      </c>
    </row>
    <row r="2">
      <c r="A2">
        <f>Strength_raw!A2</f>
        <v/>
      </c>
      <c r="B2">
        <f>Strength_raw!B2</f>
        <v/>
      </c>
      <c r="C2">
        <f>Strength_raw!C2</f>
        <v/>
      </c>
      <c r="D2">
        <f>COUNT(Strength_raw!D2:F2)</f>
        <v/>
      </c>
      <c r="E2" s="5">
        <f>AVERAGE(Strength_raw!D2:F2)</f>
        <v/>
      </c>
      <c r="F2" s="5">
        <f>STDEV(Strength_raw!D2:F2)</f>
        <v/>
      </c>
      <c r="G2" s="5">
        <f>F2/E2*100</f>
        <v/>
      </c>
      <c r="H2">
        <f>Strength_raw!G2</f>
        <v/>
      </c>
      <c r="I2" s="5">
        <f>E2-H2</f>
        <v/>
      </c>
      <c r="J2" s="5" t="n"/>
    </row>
    <row r="3">
      <c r="A3">
        <f>Strength_raw!A3</f>
        <v/>
      </c>
      <c r="B3">
        <f>Strength_raw!B3</f>
        <v/>
      </c>
      <c r="C3">
        <f>Strength_raw!C3</f>
        <v/>
      </c>
      <c r="D3">
        <f>COUNT(Strength_raw!D3:F3)</f>
        <v/>
      </c>
      <c r="E3" s="5">
        <f>AVERAGE(Strength_raw!D3:F3)</f>
        <v/>
      </c>
      <c r="F3" s="5">
        <f>STDEV(Strength_raw!D3:F3)</f>
        <v/>
      </c>
      <c r="G3" s="5">
        <f>F3/E3*100</f>
        <v/>
      </c>
      <c r="H3">
        <f>Strength_raw!G3</f>
        <v/>
      </c>
      <c r="I3" s="5">
        <f>E3-H3</f>
        <v/>
      </c>
      <c r="J3" s="5" t="n"/>
    </row>
    <row r="4">
      <c r="A4">
        <f>Strength_raw!A4</f>
        <v/>
      </c>
      <c r="B4">
        <f>Strength_raw!B4</f>
        <v/>
      </c>
      <c r="C4">
        <f>Strength_raw!C4</f>
        <v/>
      </c>
      <c r="D4">
        <f>COUNT(Strength_raw!D4:F4)</f>
        <v/>
      </c>
      <c r="E4" s="5">
        <f>AVERAGE(Strength_raw!D4:F4)</f>
        <v/>
      </c>
      <c r="F4" s="5">
        <f>STDEV(Strength_raw!D4:F4)</f>
        <v/>
      </c>
      <c r="G4" s="5">
        <f>F4/E4*100</f>
        <v/>
      </c>
      <c r="H4">
        <f>Strength_raw!G4</f>
        <v/>
      </c>
      <c r="I4" s="5">
        <f>E4-H4</f>
        <v/>
      </c>
      <c r="J4" s="5">
        <f>(H4/Strength_raw!G7-1)*100</f>
        <v/>
      </c>
    </row>
    <row r="5">
      <c r="A5">
        <f>Strength_raw!A5</f>
        <v/>
      </c>
      <c r="B5">
        <f>Strength_raw!B5</f>
        <v/>
      </c>
      <c r="C5">
        <f>Strength_raw!C5</f>
        <v/>
      </c>
      <c r="D5">
        <f>COUNT(Strength_raw!D5:F5)</f>
        <v/>
      </c>
      <c r="E5" s="5">
        <f>AVERAGE(Strength_raw!D5:F5)</f>
        <v/>
      </c>
      <c r="F5" s="5">
        <f>STDEV(Strength_raw!D5:F5)</f>
        <v/>
      </c>
      <c r="G5" s="5">
        <f>F5/E5*100</f>
        <v/>
      </c>
      <c r="H5">
        <f>Strength_raw!G5</f>
        <v/>
      </c>
      <c r="I5" s="5">
        <f>E5-H5</f>
        <v/>
      </c>
      <c r="J5" s="5" t="n"/>
    </row>
    <row r="6">
      <c r="A6">
        <f>Strength_raw!A6</f>
        <v/>
      </c>
      <c r="B6">
        <f>Strength_raw!B6</f>
        <v/>
      </c>
      <c r="C6">
        <f>Strength_raw!C6</f>
        <v/>
      </c>
      <c r="D6">
        <f>COUNT(Strength_raw!D6:F6)</f>
        <v/>
      </c>
      <c r="E6" s="5">
        <f>AVERAGE(Strength_raw!D6:F6)</f>
        <v/>
      </c>
      <c r="F6" s="5">
        <f>STDEV(Strength_raw!D6:F6)</f>
        <v/>
      </c>
      <c r="G6" s="5">
        <f>F6/E6*100</f>
        <v/>
      </c>
      <c r="H6">
        <f>Strength_raw!G6</f>
        <v/>
      </c>
      <c r="I6" s="5">
        <f>E6-H6</f>
        <v/>
      </c>
      <c r="J6" s="5" t="n"/>
    </row>
    <row r="7">
      <c r="A7">
        <f>Strength_raw!A7</f>
        <v/>
      </c>
      <c r="B7">
        <f>Strength_raw!B7</f>
        <v/>
      </c>
      <c r="C7">
        <f>Strength_raw!C7</f>
        <v/>
      </c>
      <c r="D7">
        <f>COUNT(Strength_raw!D7:F7)</f>
        <v/>
      </c>
      <c r="E7" s="5">
        <f>AVERAGE(Strength_raw!D7:F7)</f>
        <v/>
      </c>
      <c r="F7" s="5">
        <f>STDEV(Strength_raw!D7:F7)</f>
        <v/>
      </c>
      <c r="G7" s="5">
        <f>F7/E7*100</f>
        <v/>
      </c>
      <c r="H7">
        <f>Strength_raw!G7</f>
        <v/>
      </c>
      <c r="I7" s="5">
        <f>E7-H7</f>
        <v/>
      </c>
      <c r="J7" s="5">
        <f>(H7/Strength_raw!G7-1)*100</f>
        <v/>
      </c>
    </row>
    <row r="8">
      <c r="A8">
        <f>Strength_raw!A8</f>
        <v/>
      </c>
      <c r="B8">
        <f>Strength_raw!B8</f>
        <v/>
      </c>
      <c r="C8">
        <f>Strength_raw!C8</f>
        <v/>
      </c>
      <c r="D8">
        <f>COUNT(Strength_raw!D8:F8)</f>
        <v/>
      </c>
      <c r="E8" s="5">
        <f>AVERAGE(Strength_raw!D8:F8)</f>
        <v/>
      </c>
      <c r="F8" s="5">
        <f>STDEV(Strength_raw!D8:F8)</f>
        <v/>
      </c>
      <c r="G8" s="5">
        <f>F8/E8*100</f>
        <v/>
      </c>
      <c r="H8">
        <f>Strength_raw!G8</f>
        <v/>
      </c>
      <c r="I8" s="5">
        <f>E8-H8</f>
        <v/>
      </c>
      <c r="J8" s="5" t="n"/>
    </row>
    <row r="9">
      <c r="A9">
        <f>Strength_raw!A9</f>
        <v/>
      </c>
      <c r="B9">
        <f>Strength_raw!B9</f>
        <v/>
      </c>
      <c r="C9">
        <f>Strength_raw!C9</f>
        <v/>
      </c>
      <c r="D9">
        <f>COUNT(Strength_raw!D9:F9)</f>
        <v/>
      </c>
      <c r="E9" s="5">
        <f>AVERAGE(Strength_raw!D9:F9)</f>
        <v/>
      </c>
      <c r="F9" s="5">
        <f>STDEV(Strength_raw!D9:F9)</f>
        <v/>
      </c>
      <c r="G9" s="5">
        <f>F9/E9*100</f>
        <v/>
      </c>
      <c r="H9">
        <f>Strength_raw!G9</f>
        <v/>
      </c>
      <c r="I9" s="5">
        <f>E9-H9</f>
        <v/>
      </c>
      <c r="J9" s="5" t="n"/>
    </row>
    <row r="10">
      <c r="A10">
        <f>Strength_raw!A10</f>
        <v/>
      </c>
      <c r="B10">
        <f>Strength_raw!B10</f>
        <v/>
      </c>
      <c r="C10">
        <f>Strength_raw!C10</f>
        <v/>
      </c>
      <c r="D10">
        <f>COUNT(Strength_raw!D10:F10)</f>
        <v/>
      </c>
      <c r="E10" s="5">
        <f>AVERAGE(Strength_raw!D10:F10)</f>
        <v/>
      </c>
      <c r="F10" s="5">
        <f>STDEV(Strength_raw!D10:F10)</f>
        <v/>
      </c>
      <c r="G10" s="5">
        <f>F10/E10*100</f>
        <v/>
      </c>
      <c r="H10">
        <f>Strength_raw!G10</f>
        <v/>
      </c>
      <c r="I10" s="5">
        <f>E10-H10</f>
        <v/>
      </c>
      <c r="J10" s="5">
        <f>(H10/Strength_raw!G7-1)*100</f>
        <v/>
      </c>
    </row>
    <row r="11">
      <c r="A11">
        <f>Strength_raw!A11</f>
        <v/>
      </c>
      <c r="B11">
        <f>Strength_raw!B11</f>
        <v/>
      </c>
      <c r="C11">
        <f>Strength_raw!C11</f>
        <v/>
      </c>
      <c r="D11">
        <f>COUNT(Strength_raw!D11:F11)</f>
        <v/>
      </c>
      <c r="E11" s="5">
        <f>AVERAGE(Strength_raw!D11:F11)</f>
        <v/>
      </c>
      <c r="F11" s="5">
        <f>STDEV(Strength_raw!D11:F11)</f>
        <v/>
      </c>
      <c r="G11" s="5">
        <f>F11/E11*100</f>
        <v/>
      </c>
      <c r="H11">
        <f>Strength_raw!G11</f>
        <v/>
      </c>
      <c r="I11" s="5">
        <f>E11-H11</f>
        <v/>
      </c>
      <c r="J11" s="5" t="n"/>
    </row>
    <row r="12">
      <c r="A12">
        <f>Strength_raw!A12</f>
        <v/>
      </c>
      <c r="B12">
        <f>Strength_raw!B12</f>
        <v/>
      </c>
      <c r="C12">
        <f>Strength_raw!C12</f>
        <v/>
      </c>
      <c r="D12">
        <f>COUNT(Strength_raw!D12:F12)</f>
        <v/>
      </c>
      <c r="E12" s="5">
        <f>AVERAGE(Strength_raw!D12:F12)</f>
        <v/>
      </c>
      <c r="F12" s="5">
        <f>STDEV(Strength_raw!D12:F12)</f>
        <v/>
      </c>
      <c r="G12" s="5">
        <f>F12/E12*100</f>
        <v/>
      </c>
      <c r="H12">
        <f>Strength_raw!G12</f>
        <v/>
      </c>
      <c r="I12" s="5">
        <f>E12-H12</f>
        <v/>
      </c>
      <c r="J12" s="5" t="n"/>
    </row>
    <row r="13">
      <c r="A13">
        <f>Strength_raw!A13</f>
        <v/>
      </c>
      <c r="B13">
        <f>Strength_raw!B13</f>
        <v/>
      </c>
      <c r="C13">
        <f>Strength_raw!C13</f>
        <v/>
      </c>
      <c r="D13">
        <f>COUNT(Strength_raw!D13:F13)</f>
        <v/>
      </c>
      <c r="E13" s="5">
        <f>AVERAGE(Strength_raw!D13:F13)</f>
        <v/>
      </c>
      <c r="F13" s="5">
        <f>STDEV(Strength_raw!D13:F13)</f>
        <v/>
      </c>
      <c r="G13" s="5">
        <f>F13/E13*100</f>
        <v/>
      </c>
      <c r="H13">
        <f>Strength_raw!G13</f>
        <v/>
      </c>
      <c r="I13" s="5">
        <f>E13-H13</f>
        <v/>
      </c>
      <c r="J13" s="5">
        <f>(H13/Strength_raw!G7-1)*100</f>
        <v/>
      </c>
    </row>
    <row r="14">
      <c r="A14">
        <f>Strength_raw!A14</f>
        <v/>
      </c>
      <c r="B14">
        <f>Strength_raw!B14</f>
        <v/>
      </c>
      <c r="C14">
        <f>Strength_raw!C14</f>
        <v/>
      </c>
      <c r="D14">
        <f>COUNT(Strength_raw!D14:F14)</f>
        <v/>
      </c>
      <c r="E14" s="5">
        <f>AVERAGE(Strength_raw!D14:F14)</f>
        <v/>
      </c>
      <c r="F14" s="5">
        <f>STDEV(Strength_raw!D14:F14)</f>
        <v/>
      </c>
      <c r="G14" s="5">
        <f>F14/E14*100</f>
        <v/>
      </c>
      <c r="H14">
        <f>Strength_raw!G14</f>
        <v/>
      </c>
      <c r="I14" s="5">
        <f>E14-H14</f>
        <v/>
      </c>
      <c r="J14" s="5" t="n"/>
    </row>
    <row r="15">
      <c r="A15">
        <f>Strength_raw!A15</f>
        <v/>
      </c>
      <c r="B15">
        <f>Strength_raw!B15</f>
        <v/>
      </c>
      <c r="C15">
        <f>Strength_raw!C15</f>
        <v/>
      </c>
      <c r="D15">
        <f>COUNT(Strength_raw!D15:F15)</f>
        <v/>
      </c>
      <c r="E15" s="5">
        <f>AVERAGE(Strength_raw!D15:F15)</f>
        <v/>
      </c>
      <c r="F15" s="5">
        <f>STDEV(Strength_raw!D15:F15)</f>
        <v/>
      </c>
      <c r="G15" s="5">
        <f>F15/E15*100</f>
        <v/>
      </c>
      <c r="H15">
        <f>Strength_raw!G15</f>
        <v/>
      </c>
      <c r="I15" s="5">
        <f>E15-H15</f>
        <v/>
      </c>
      <c r="J15" s="5" t="n"/>
    </row>
    <row r="16">
      <c r="A16">
        <f>Strength_raw!A16</f>
        <v/>
      </c>
      <c r="B16">
        <f>Strength_raw!B16</f>
        <v/>
      </c>
      <c r="C16">
        <f>Strength_raw!C16</f>
        <v/>
      </c>
      <c r="D16">
        <f>COUNT(Strength_raw!D16:F16)</f>
        <v/>
      </c>
      <c r="E16" s="5">
        <f>AVERAGE(Strength_raw!D16:F16)</f>
        <v/>
      </c>
      <c r="F16" s="5">
        <f>STDEV(Strength_raw!D16:F16)</f>
        <v/>
      </c>
      <c r="G16" s="5">
        <f>F16/E16*100</f>
        <v/>
      </c>
      <c r="H16">
        <f>Strength_raw!G16</f>
        <v/>
      </c>
      <c r="I16" s="5">
        <f>E16-H16</f>
        <v/>
      </c>
      <c r="J16" s="5">
        <f>(H16/Strength_raw!G7-1)*100</f>
        <v/>
      </c>
    </row>
    <row r="17">
      <c r="A17">
        <f>Strength_raw!A17</f>
        <v/>
      </c>
      <c r="B17">
        <f>Strength_raw!B17</f>
        <v/>
      </c>
      <c r="C17">
        <f>Strength_raw!C17</f>
        <v/>
      </c>
      <c r="D17">
        <f>COUNT(Strength_raw!D17:F17)</f>
        <v/>
      </c>
      <c r="E17" s="5">
        <f>AVERAGE(Strength_raw!D17:F17)</f>
        <v/>
      </c>
      <c r="F17" s="5">
        <f>STDEV(Strength_raw!D17:F17)</f>
        <v/>
      </c>
      <c r="G17" s="5">
        <f>F17/E17*100</f>
        <v/>
      </c>
      <c r="H17">
        <f>Strength_raw!G17</f>
        <v/>
      </c>
      <c r="I17" s="5">
        <f>E17-H17</f>
        <v/>
      </c>
      <c r="J17" s="5" t="n"/>
    </row>
    <row r="18">
      <c r="A18">
        <f>Strength_raw!A18</f>
        <v/>
      </c>
      <c r="B18">
        <f>Strength_raw!B18</f>
        <v/>
      </c>
      <c r="C18">
        <f>Strength_raw!C18</f>
        <v/>
      </c>
      <c r="D18">
        <f>COUNT(Strength_raw!D18:F18)</f>
        <v/>
      </c>
      <c r="E18" s="5">
        <f>AVERAGE(Strength_raw!D18:F18)</f>
        <v/>
      </c>
      <c r="F18" s="5">
        <f>STDEV(Strength_raw!D18:F18)</f>
        <v/>
      </c>
      <c r="G18" s="5">
        <f>F18/E18*100</f>
        <v/>
      </c>
      <c r="H18">
        <f>Strength_raw!G18</f>
        <v/>
      </c>
      <c r="I18" s="5">
        <f>E18-H18</f>
        <v/>
      </c>
      <c r="J18" s="5" t="n"/>
    </row>
    <row r="19">
      <c r="A19">
        <f>Strength_raw!A19</f>
        <v/>
      </c>
      <c r="B19">
        <f>Strength_raw!B19</f>
        <v/>
      </c>
      <c r="C19">
        <f>Strength_raw!C19</f>
        <v/>
      </c>
      <c r="D19">
        <f>COUNT(Strength_raw!D19:F19)</f>
        <v/>
      </c>
      <c r="E19" s="5">
        <f>AVERAGE(Strength_raw!D19:F19)</f>
        <v/>
      </c>
      <c r="F19" s="5">
        <f>STDEV(Strength_raw!D19:F19)</f>
        <v/>
      </c>
      <c r="G19" s="5">
        <f>F19/E19*100</f>
        <v/>
      </c>
      <c r="H19">
        <f>Strength_raw!G19</f>
        <v/>
      </c>
      <c r="I19" s="5">
        <f>E19-H19</f>
        <v/>
      </c>
      <c r="J19" s="5">
        <f>(H19/Strength_raw!G19-1)*100</f>
        <v/>
      </c>
    </row>
    <row r="20">
      <c r="A20">
        <f>Strength_raw!A20</f>
        <v/>
      </c>
      <c r="B20">
        <f>Strength_raw!B20</f>
        <v/>
      </c>
      <c r="C20">
        <f>Strength_raw!C20</f>
        <v/>
      </c>
      <c r="D20">
        <f>COUNT(Strength_raw!D20:F20)</f>
        <v/>
      </c>
      <c r="E20" s="5">
        <f>AVERAGE(Strength_raw!D20:F20)</f>
        <v/>
      </c>
      <c r="F20" s="5">
        <f>STDEV(Strength_raw!D20:F20)</f>
        <v/>
      </c>
      <c r="G20" s="5">
        <f>F20/E20*100</f>
        <v/>
      </c>
      <c r="H20">
        <f>Strength_raw!G20</f>
        <v/>
      </c>
      <c r="I20" s="5">
        <f>E20-H20</f>
        <v/>
      </c>
      <c r="J20" s="5" t="n"/>
    </row>
    <row r="21">
      <c r="A21">
        <f>Strength_raw!A21</f>
        <v/>
      </c>
      <c r="B21">
        <f>Strength_raw!B21</f>
        <v/>
      </c>
      <c r="C21">
        <f>Strength_raw!C21</f>
        <v/>
      </c>
      <c r="D21">
        <f>COUNT(Strength_raw!D21:F21)</f>
        <v/>
      </c>
      <c r="E21" s="5">
        <f>AVERAGE(Strength_raw!D21:F21)</f>
        <v/>
      </c>
      <c r="F21" s="5">
        <f>STDEV(Strength_raw!D21:F21)</f>
        <v/>
      </c>
      <c r="G21" s="5">
        <f>F21/E21*100</f>
        <v/>
      </c>
      <c r="H21">
        <f>Strength_raw!G21</f>
        <v/>
      </c>
      <c r="I21" s="5">
        <f>E21-H21</f>
        <v/>
      </c>
      <c r="J21" s="5" t="n"/>
    </row>
    <row r="22">
      <c r="A22">
        <f>Strength_raw!A22</f>
        <v/>
      </c>
      <c r="B22">
        <f>Strength_raw!B22</f>
        <v/>
      </c>
      <c r="C22">
        <f>Strength_raw!C22</f>
        <v/>
      </c>
      <c r="D22">
        <f>COUNT(Strength_raw!D22:F22)</f>
        <v/>
      </c>
      <c r="E22" s="5">
        <f>AVERAGE(Strength_raw!D22:F22)</f>
        <v/>
      </c>
      <c r="F22" s="5">
        <f>STDEV(Strength_raw!D22:F22)</f>
        <v/>
      </c>
      <c r="G22" s="5">
        <f>F22/E22*100</f>
        <v/>
      </c>
      <c r="H22">
        <f>Strength_raw!G22</f>
        <v/>
      </c>
      <c r="I22" s="5">
        <f>E22-H22</f>
        <v/>
      </c>
      <c r="J22" s="5">
        <f>(H22/Strength_raw!G19-1)*100</f>
        <v/>
      </c>
    </row>
    <row r="23">
      <c r="A23">
        <f>Strength_raw!A23</f>
        <v/>
      </c>
      <c r="B23">
        <f>Strength_raw!B23</f>
        <v/>
      </c>
      <c r="C23">
        <f>Strength_raw!C23</f>
        <v/>
      </c>
      <c r="D23">
        <f>COUNT(Strength_raw!D23:F23)</f>
        <v/>
      </c>
      <c r="E23" s="5">
        <f>AVERAGE(Strength_raw!D23:F23)</f>
        <v/>
      </c>
      <c r="F23" s="5">
        <f>STDEV(Strength_raw!D23:F23)</f>
        <v/>
      </c>
      <c r="G23" s="5">
        <f>F23/E23*100</f>
        <v/>
      </c>
      <c r="H23">
        <f>Strength_raw!G23</f>
        <v/>
      </c>
      <c r="I23" s="5">
        <f>E23-H23</f>
        <v/>
      </c>
      <c r="J23" s="5" t="n"/>
    </row>
    <row r="24">
      <c r="A24">
        <f>Strength_raw!A24</f>
        <v/>
      </c>
      <c r="B24">
        <f>Strength_raw!B24</f>
        <v/>
      </c>
      <c r="C24">
        <f>Strength_raw!C24</f>
        <v/>
      </c>
      <c r="D24">
        <f>COUNT(Strength_raw!D24:F24)</f>
        <v/>
      </c>
      <c r="E24" s="5">
        <f>AVERAGE(Strength_raw!D24:F24)</f>
        <v/>
      </c>
      <c r="F24" s="5">
        <f>STDEV(Strength_raw!D24:F24)</f>
        <v/>
      </c>
      <c r="G24" s="5">
        <f>F24/E24*100</f>
        <v/>
      </c>
      <c r="H24">
        <f>Strength_raw!G24</f>
        <v/>
      </c>
      <c r="I24" s="5">
        <f>E24-H24</f>
        <v/>
      </c>
      <c r="J24" s="5" t="n"/>
    </row>
    <row r="25">
      <c r="A25">
        <f>Strength_raw!A25</f>
        <v/>
      </c>
      <c r="B25">
        <f>Strength_raw!B25</f>
        <v/>
      </c>
      <c r="C25">
        <f>Strength_raw!C25</f>
        <v/>
      </c>
      <c r="D25">
        <f>COUNT(Strength_raw!D25:F25)</f>
        <v/>
      </c>
      <c r="E25" s="5">
        <f>AVERAGE(Strength_raw!D25:F25)</f>
        <v/>
      </c>
      <c r="F25" s="5">
        <f>STDEV(Strength_raw!D25:F25)</f>
        <v/>
      </c>
      <c r="G25" s="5">
        <f>F25/E25*100</f>
        <v/>
      </c>
      <c r="H25">
        <f>Strength_raw!G25</f>
        <v/>
      </c>
      <c r="I25" s="5">
        <f>E25-H25</f>
        <v/>
      </c>
      <c r="J25" s="5">
        <f>(H25/Strength_raw!G19-1)*100</f>
        <v/>
      </c>
    </row>
    <row r="26">
      <c r="A26">
        <f>Strength_raw!A26</f>
        <v/>
      </c>
      <c r="B26">
        <f>Strength_raw!B26</f>
        <v/>
      </c>
      <c r="C26">
        <f>Strength_raw!C26</f>
        <v/>
      </c>
      <c r="D26">
        <f>COUNT(Strength_raw!D26:F26)</f>
        <v/>
      </c>
      <c r="E26" s="5">
        <f>AVERAGE(Strength_raw!D26:F26)</f>
        <v/>
      </c>
      <c r="F26" s="5">
        <f>STDEV(Strength_raw!D26:F26)</f>
        <v/>
      </c>
      <c r="G26" s="5">
        <f>F26/E26*100</f>
        <v/>
      </c>
      <c r="H26">
        <f>Strength_raw!G26</f>
        <v/>
      </c>
      <c r="I26" s="5">
        <f>E26-H26</f>
        <v/>
      </c>
      <c r="J26" s="5" t="n"/>
    </row>
    <row r="27">
      <c r="A27">
        <f>Strength_raw!A27</f>
        <v/>
      </c>
      <c r="B27">
        <f>Strength_raw!B27</f>
        <v/>
      </c>
      <c r="C27">
        <f>Strength_raw!C27</f>
        <v/>
      </c>
      <c r="D27">
        <f>COUNT(Strength_raw!D27:F27)</f>
        <v/>
      </c>
      <c r="E27" s="5">
        <f>AVERAGE(Strength_raw!D27:F27)</f>
        <v/>
      </c>
      <c r="F27" s="5">
        <f>STDEV(Strength_raw!D27:F27)</f>
        <v/>
      </c>
      <c r="G27" s="5">
        <f>F27/E27*100</f>
        <v/>
      </c>
      <c r="H27">
        <f>Strength_raw!G27</f>
        <v/>
      </c>
      <c r="I27" s="5">
        <f>E27-H27</f>
        <v/>
      </c>
      <c r="J27" s="5" t="n"/>
    </row>
    <row r="28">
      <c r="A28">
        <f>Strength_raw!A28</f>
        <v/>
      </c>
      <c r="B28">
        <f>Strength_raw!B28</f>
        <v/>
      </c>
      <c r="C28">
        <f>Strength_raw!C28</f>
        <v/>
      </c>
      <c r="D28">
        <f>COUNT(Strength_raw!D28:F28)</f>
        <v/>
      </c>
      <c r="E28" s="5">
        <f>AVERAGE(Strength_raw!D28:F28)</f>
        <v/>
      </c>
      <c r="F28" s="5">
        <f>STDEV(Strength_raw!D28:F28)</f>
        <v/>
      </c>
      <c r="G28" s="5">
        <f>F28/E28*100</f>
        <v/>
      </c>
      <c r="H28">
        <f>Strength_raw!G28</f>
        <v/>
      </c>
      <c r="I28" s="5">
        <f>E28-H28</f>
        <v/>
      </c>
      <c r="J28" s="5">
        <f>(H28/Strength_raw!G19-1)*100</f>
        <v/>
      </c>
    </row>
    <row r="31">
      <c r="A31" s="1" t="inlineStr">
        <is>
          <t>28-d reported mean (for chart)</t>
        </is>
      </c>
    </row>
    <row r="32">
      <c r="B32" t="inlineStr">
        <is>
          <t>NA</t>
        </is>
      </c>
      <c r="C32">
        <f>Strength_raw!G4</f>
        <v/>
      </c>
    </row>
    <row r="33">
      <c r="B33" t="inlineStr">
        <is>
          <t>RA</t>
        </is>
      </c>
      <c r="C33">
        <f>Strength_raw!G7</f>
        <v/>
      </c>
    </row>
    <row r="34">
      <c r="B34" t="inlineStr">
        <is>
          <t>Rab5</t>
        </is>
      </c>
      <c r="C34">
        <f>Strength_raw!G10</f>
        <v/>
      </c>
    </row>
    <row r="35">
      <c r="B35" t="inlineStr">
        <is>
          <t>Rab10</t>
        </is>
      </c>
      <c r="C35">
        <f>Strength_raw!G13</f>
        <v/>
      </c>
    </row>
    <row r="36">
      <c r="B36" t="inlineStr">
        <is>
          <t>Rab15</t>
        </is>
      </c>
      <c r="C36">
        <f>Strength_raw!G16</f>
        <v/>
      </c>
    </row>
    <row r="37">
      <c r="B37" t="inlineStr">
        <is>
          <t>RCA0</t>
        </is>
      </c>
      <c r="C37">
        <f>Strength_raw!G19</f>
        <v/>
      </c>
    </row>
    <row r="38">
      <c r="B38" t="inlineStr">
        <is>
          <t>RCA5</t>
        </is>
      </c>
      <c r="C38">
        <f>Strength_raw!G22</f>
        <v/>
      </c>
    </row>
    <row r="39">
      <c r="B39" t="inlineStr">
        <is>
          <t>RCA10</t>
        </is>
      </c>
      <c r="C39">
        <f>Strength_raw!G25</f>
        <v/>
      </c>
    </row>
    <row r="40">
      <c r="B40" t="inlineStr">
        <is>
          <t>RCA15</t>
        </is>
      </c>
      <c r="C40">
        <f>Strength_raw!G28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24" customWidth="1" min="5" max="5"/>
    <col width="22" customWidth="1" min="6" max="6"/>
    <col width="14" customWidth="1" min="7" max="7"/>
  </cols>
  <sheetData>
    <row r="1">
      <c r="A1" s="3" t="inlineStr">
        <is>
          <t>mix</t>
        </is>
      </c>
      <c r="B1" s="3" t="inlineStr">
        <is>
          <t>age_d</t>
        </is>
      </c>
      <c r="C1" s="3" t="inlineStr">
        <is>
          <t>mass_kg</t>
        </is>
      </c>
      <c r="D1" s="3" t="inlineStr">
        <is>
          <t>volume_m3</t>
        </is>
      </c>
      <c r="E1" s="3" t="inlineStr">
        <is>
          <t>density (formula, kg/m3)</t>
        </is>
      </c>
      <c r="F1" s="3" t="inlineStr">
        <is>
          <t>density printed in draft</t>
        </is>
      </c>
      <c r="G1" s="3" t="inlineStr">
        <is>
          <t>reported mean</t>
        </is>
      </c>
    </row>
    <row r="2">
      <c r="A2" t="inlineStr">
        <is>
          <t>NA</t>
        </is>
      </c>
      <c r="B2" t="n">
        <v>7</v>
      </c>
      <c r="C2" t="n">
        <v>3.28</v>
      </c>
      <c r="D2" t="n">
        <v>0.00156</v>
      </c>
      <c r="E2" s="6">
        <f>C2/D2</f>
        <v/>
      </c>
      <c r="F2" t="n">
        <v>2103</v>
      </c>
      <c r="G2" t="n">
        <v>2137</v>
      </c>
    </row>
    <row r="3">
      <c r="A3" t="inlineStr">
        <is>
          <t>NA</t>
        </is>
      </c>
      <c r="B3" t="n">
        <v>7</v>
      </c>
      <c r="C3" t="n">
        <v>3.33</v>
      </c>
      <c r="D3" t="n">
        <v>0.00156</v>
      </c>
      <c r="E3" s="6">
        <f>C3/D3</f>
        <v/>
      </c>
      <c r="F3" t="n">
        <v>2135</v>
      </c>
    </row>
    <row r="4">
      <c r="A4" t="inlineStr">
        <is>
          <t>NA</t>
        </is>
      </c>
      <c r="B4" t="n">
        <v>7</v>
      </c>
      <c r="C4" t="n">
        <v>3.39</v>
      </c>
      <c r="D4" t="n">
        <v>0.00156</v>
      </c>
      <c r="E4" s="6">
        <f>C4/D4</f>
        <v/>
      </c>
      <c r="F4" t="n">
        <v>2173</v>
      </c>
    </row>
    <row r="5">
      <c r="A5" t="inlineStr">
        <is>
          <t>NA</t>
        </is>
      </c>
      <c r="B5" t="n">
        <v>14</v>
      </c>
      <c r="C5" t="n">
        <v>3.62</v>
      </c>
      <c r="D5" t="n">
        <v>0.00156</v>
      </c>
      <c r="E5" s="6">
        <f>C5/D5</f>
        <v/>
      </c>
      <c r="F5" t="n">
        <v>2321</v>
      </c>
      <c r="G5" t="n">
        <v>2308</v>
      </c>
    </row>
    <row r="6">
      <c r="A6" t="inlineStr">
        <is>
          <t>NA</t>
        </is>
      </c>
      <c r="B6" t="n">
        <v>14</v>
      </c>
      <c r="C6" t="n">
        <v>3.62</v>
      </c>
      <c r="D6" t="n">
        <v>0.00156</v>
      </c>
      <c r="E6" s="6">
        <f>C6/D6</f>
        <v/>
      </c>
      <c r="F6" t="n">
        <v>2321</v>
      </c>
    </row>
    <row r="7">
      <c r="A7" t="inlineStr">
        <is>
          <t>NA</t>
        </is>
      </c>
      <c r="B7" t="n">
        <v>14</v>
      </c>
      <c r="C7" t="n">
        <v>3.56</v>
      </c>
      <c r="D7" t="n">
        <v>0.00156</v>
      </c>
      <c r="E7" s="6">
        <f>C7/D7</f>
        <v/>
      </c>
      <c r="F7" t="n">
        <v>2282</v>
      </c>
    </row>
    <row r="8">
      <c r="A8" t="inlineStr">
        <is>
          <t>NA</t>
        </is>
      </c>
      <c r="B8" t="n">
        <v>28</v>
      </c>
      <c r="C8" t="n">
        <v>3.54</v>
      </c>
      <c r="D8" t="n">
        <v>0.00156</v>
      </c>
      <c r="E8" s="6">
        <f>C8/D8</f>
        <v/>
      </c>
      <c r="F8" t="n">
        <v>2269</v>
      </c>
      <c r="G8" t="n">
        <v>2284</v>
      </c>
    </row>
    <row r="9">
      <c r="A9" t="inlineStr">
        <is>
          <t>NA</t>
        </is>
      </c>
      <c r="B9" t="n">
        <v>28</v>
      </c>
      <c r="C9" t="n">
        <v>3.54</v>
      </c>
      <c r="D9" t="n">
        <v>0.00156</v>
      </c>
      <c r="E9" s="6">
        <f>C9/D9</f>
        <v/>
      </c>
      <c r="F9" t="n">
        <v>2269</v>
      </c>
    </row>
    <row r="10">
      <c r="A10" t="inlineStr">
        <is>
          <t>NA</t>
        </is>
      </c>
      <c r="B10" t="n">
        <v>28</v>
      </c>
      <c r="C10" t="n">
        <v>3.61</v>
      </c>
      <c r="D10" t="n">
        <v>0.00156</v>
      </c>
      <c r="E10" s="6">
        <f>C10/D10</f>
        <v/>
      </c>
      <c r="F10" t="n">
        <v>2314</v>
      </c>
    </row>
    <row r="11">
      <c r="A11" t="inlineStr">
        <is>
          <t>RA</t>
        </is>
      </c>
      <c r="B11" t="n">
        <v>7</v>
      </c>
      <c r="C11" t="n">
        <v>3.25</v>
      </c>
      <c r="D11" t="n">
        <v>0.00156</v>
      </c>
      <c r="E11" s="6">
        <f>C11/D11</f>
        <v/>
      </c>
      <c r="F11" t="n">
        <v>2083</v>
      </c>
      <c r="G11" t="n">
        <v>2125</v>
      </c>
    </row>
    <row r="12">
      <c r="A12" t="inlineStr">
        <is>
          <t>RA</t>
        </is>
      </c>
      <c r="B12" t="n">
        <v>7</v>
      </c>
      <c r="C12" t="n">
        <v>3.38</v>
      </c>
      <c r="D12" t="n">
        <v>0.00156</v>
      </c>
      <c r="E12" s="6">
        <f>C12/D12</f>
        <v/>
      </c>
      <c r="F12" t="n">
        <v>2167</v>
      </c>
    </row>
    <row r="13">
      <c r="A13" t="inlineStr">
        <is>
          <t>RA</t>
        </is>
      </c>
      <c r="B13" t="n">
        <v>7</v>
      </c>
      <c r="C13" t="n">
        <v>3.25</v>
      </c>
      <c r="D13" t="n">
        <v>0.00156</v>
      </c>
      <c r="E13" s="6">
        <f>C13/D13</f>
        <v/>
      </c>
      <c r="F13" t="n">
        <v>2083</v>
      </c>
    </row>
    <row r="14">
      <c r="A14" t="inlineStr">
        <is>
          <t>RA</t>
        </is>
      </c>
      <c r="B14" t="n">
        <v>14</v>
      </c>
      <c r="C14" t="n">
        <v>3.45</v>
      </c>
      <c r="D14" t="n">
        <v>0.00156</v>
      </c>
      <c r="E14" s="6">
        <f>C14/D14</f>
        <v/>
      </c>
      <c r="F14" t="n">
        <v>2212</v>
      </c>
      <c r="G14" t="n">
        <v>2224</v>
      </c>
    </row>
    <row r="15">
      <c r="A15" t="inlineStr">
        <is>
          <t>RA</t>
        </is>
      </c>
      <c r="B15" t="n">
        <v>14</v>
      </c>
      <c r="C15" t="n">
        <v>3.42</v>
      </c>
      <c r="D15" t="n">
        <v>0.00156</v>
      </c>
      <c r="E15" s="6">
        <f>C15/D15</f>
        <v/>
      </c>
      <c r="F15" t="n">
        <v>2192</v>
      </c>
    </row>
    <row r="16">
      <c r="A16" t="inlineStr">
        <is>
          <t>RA</t>
        </is>
      </c>
      <c r="B16" t="n">
        <v>14</v>
      </c>
      <c r="C16" t="n">
        <v>3.54</v>
      </c>
      <c r="D16" t="n">
        <v>0.00156</v>
      </c>
      <c r="E16" s="6">
        <f>C16/D16</f>
        <v/>
      </c>
      <c r="F16" t="n">
        <v>2269</v>
      </c>
    </row>
    <row r="17">
      <c r="A17" t="inlineStr">
        <is>
          <t>RA</t>
        </is>
      </c>
      <c r="B17" t="n">
        <v>28</v>
      </c>
      <c r="C17" t="n">
        <v>3.48</v>
      </c>
      <c r="D17" t="n">
        <v>0.00156</v>
      </c>
      <c r="E17" s="6">
        <f>C17/D17</f>
        <v/>
      </c>
      <c r="F17" t="n">
        <v>2231</v>
      </c>
      <c r="G17" t="n">
        <v>2235</v>
      </c>
    </row>
    <row r="18">
      <c r="A18" t="inlineStr">
        <is>
          <t>RA</t>
        </is>
      </c>
      <c r="B18" t="n">
        <v>28</v>
      </c>
      <c r="C18" t="n">
        <v>3.46</v>
      </c>
      <c r="D18" t="n">
        <v>0.00156</v>
      </c>
      <c r="E18" s="6">
        <f>C18/D18</f>
        <v/>
      </c>
      <c r="F18" t="n">
        <v>2218</v>
      </c>
    </row>
    <row r="19">
      <c r="A19" t="inlineStr">
        <is>
          <t>RA</t>
        </is>
      </c>
      <c r="B19" t="n">
        <v>28</v>
      </c>
      <c r="C19" t="n">
        <v>3.52</v>
      </c>
      <c r="D19" t="n">
        <v>0.00156</v>
      </c>
      <c r="E19" s="6">
        <f>C19/D19</f>
        <v/>
      </c>
      <c r="F19" t="n">
        <v>2256</v>
      </c>
    </row>
    <row r="20">
      <c r="A20" t="inlineStr">
        <is>
          <t>Rab5</t>
        </is>
      </c>
      <c r="B20" t="n">
        <v>7</v>
      </c>
      <c r="C20" t="n">
        <v>3.19</v>
      </c>
      <c r="D20" t="n">
        <v>0.00156</v>
      </c>
      <c r="E20" s="6">
        <f>C20/D20</f>
        <v/>
      </c>
      <c r="F20" t="n">
        <v>2045</v>
      </c>
      <c r="G20" t="n">
        <v>2073</v>
      </c>
    </row>
    <row r="21">
      <c r="A21" t="inlineStr">
        <is>
          <t>Rab5</t>
        </is>
      </c>
      <c r="B21" t="n">
        <v>7</v>
      </c>
      <c r="C21" t="n">
        <v>3.28</v>
      </c>
      <c r="D21" t="n">
        <v>0.00156</v>
      </c>
      <c r="E21" s="6">
        <f>C21/D21</f>
        <v/>
      </c>
      <c r="F21" t="n">
        <v>2103</v>
      </c>
    </row>
    <row r="22">
      <c r="A22" t="inlineStr">
        <is>
          <t>Rab5</t>
        </is>
      </c>
      <c r="B22" t="n">
        <v>7</v>
      </c>
      <c r="C22" t="n">
        <v>3.23</v>
      </c>
      <c r="D22" t="n">
        <v>0.00156</v>
      </c>
      <c r="E22" s="6">
        <f>C22/D22</f>
        <v/>
      </c>
      <c r="F22" t="n">
        <v>2071</v>
      </c>
    </row>
    <row r="23">
      <c r="A23" t="inlineStr">
        <is>
          <t>Rab5</t>
        </is>
      </c>
      <c r="B23" t="n">
        <v>14</v>
      </c>
      <c r="C23" t="n">
        <v>3.29</v>
      </c>
      <c r="D23" t="n">
        <v>0.00156</v>
      </c>
      <c r="E23" s="6">
        <f>C23/D23</f>
        <v/>
      </c>
      <c r="F23" t="n">
        <v>2109</v>
      </c>
      <c r="G23" t="n">
        <v>2053</v>
      </c>
    </row>
    <row r="24">
      <c r="A24" t="inlineStr">
        <is>
          <t>Rab5</t>
        </is>
      </c>
      <c r="B24" t="n">
        <v>14</v>
      </c>
      <c r="C24" t="n">
        <v>3.19</v>
      </c>
      <c r="D24" t="n">
        <v>0.00156</v>
      </c>
      <c r="E24" s="6">
        <f>C24/D24</f>
        <v/>
      </c>
      <c r="F24" t="n">
        <v>2045</v>
      </c>
    </row>
    <row r="25">
      <c r="A25" t="inlineStr">
        <is>
          <t>Rab5</t>
        </is>
      </c>
      <c r="B25" t="n">
        <v>14</v>
      </c>
      <c r="C25" t="n">
        <v>3.13</v>
      </c>
      <c r="D25" t="n">
        <v>0.00156</v>
      </c>
      <c r="E25" s="6">
        <f>C25/D25</f>
        <v/>
      </c>
      <c r="F25" t="n">
        <v>2006</v>
      </c>
    </row>
    <row r="26">
      <c r="A26" t="inlineStr">
        <is>
          <t>Rab5</t>
        </is>
      </c>
      <c r="B26" t="n">
        <v>28</v>
      </c>
      <c r="C26" t="n">
        <v>3.39</v>
      </c>
      <c r="D26" t="n">
        <v>0.00156</v>
      </c>
      <c r="E26" s="6">
        <f>C26/D26</f>
        <v/>
      </c>
      <c r="F26" t="n">
        <v>2173</v>
      </c>
      <c r="G26" t="n">
        <v>2150</v>
      </c>
    </row>
    <row r="27">
      <c r="A27" t="inlineStr">
        <is>
          <t>Rab5</t>
        </is>
      </c>
      <c r="B27" t="n">
        <v>28</v>
      </c>
      <c r="C27" t="n">
        <v>3.38</v>
      </c>
      <c r="D27" t="n">
        <v>0.00156</v>
      </c>
      <c r="E27" s="6">
        <f>C27/D27</f>
        <v/>
      </c>
      <c r="F27" t="n">
        <v>2167</v>
      </c>
    </row>
    <row r="28">
      <c r="A28" t="inlineStr">
        <is>
          <t>Rab5</t>
        </is>
      </c>
      <c r="B28" t="n">
        <v>28</v>
      </c>
      <c r="C28" t="n">
        <v>3.29</v>
      </c>
      <c r="D28" t="n">
        <v>0.00156</v>
      </c>
      <c r="E28" s="6">
        <f>C28/D28</f>
        <v/>
      </c>
      <c r="F28" t="n">
        <v>2109</v>
      </c>
    </row>
    <row r="29">
      <c r="A29" t="inlineStr">
        <is>
          <t>Rab10</t>
        </is>
      </c>
      <c r="B29" t="n">
        <v>7</v>
      </c>
      <c r="C29" t="n">
        <v>3.04</v>
      </c>
      <c r="D29" t="n">
        <v>0.00156</v>
      </c>
      <c r="E29" s="6">
        <f>C29/D29</f>
        <v/>
      </c>
      <c r="F29" t="n">
        <v>1949</v>
      </c>
      <c r="G29" t="n">
        <v>1996</v>
      </c>
    </row>
    <row r="30">
      <c r="A30" t="inlineStr">
        <is>
          <t>Rab10</t>
        </is>
      </c>
      <c r="B30" t="n">
        <v>7</v>
      </c>
      <c r="C30" t="n">
        <v>3.15</v>
      </c>
      <c r="D30" t="n">
        <v>0.00156</v>
      </c>
      <c r="E30" s="6">
        <f>C30/D30</f>
        <v/>
      </c>
      <c r="F30" t="n">
        <v>2019</v>
      </c>
    </row>
    <row r="31">
      <c r="A31" t="inlineStr">
        <is>
          <t>Rab10</t>
        </is>
      </c>
      <c r="B31" t="n">
        <v>7</v>
      </c>
      <c r="C31" t="n">
        <v>3.15</v>
      </c>
      <c r="D31" t="n">
        <v>0.00156</v>
      </c>
      <c r="E31" s="6">
        <f>C31/D31</f>
        <v/>
      </c>
      <c r="F31" t="n">
        <v>2019</v>
      </c>
    </row>
    <row r="32">
      <c r="A32" t="inlineStr">
        <is>
          <t>Rab10</t>
        </is>
      </c>
      <c r="B32" t="n">
        <v>14</v>
      </c>
      <c r="C32" t="n">
        <v>3.2</v>
      </c>
      <c r="D32" t="n">
        <v>0.00156</v>
      </c>
      <c r="E32" s="6">
        <f>C32/D32</f>
        <v/>
      </c>
      <c r="F32" t="n">
        <v>2051</v>
      </c>
      <c r="G32" t="n">
        <v>2006</v>
      </c>
    </row>
    <row r="33">
      <c r="A33" t="inlineStr">
        <is>
          <t>Rab10</t>
        </is>
      </c>
      <c r="B33" t="n">
        <v>14</v>
      </c>
      <c r="C33" t="n">
        <v>3.15</v>
      </c>
      <c r="D33" t="n">
        <v>0.00156</v>
      </c>
      <c r="E33" s="6">
        <f>C33/D33</f>
        <v/>
      </c>
      <c r="F33" t="n">
        <v>2019</v>
      </c>
    </row>
    <row r="34">
      <c r="A34" t="inlineStr">
        <is>
          <t>Rab10</t>
        </is>
      </c>
      <c r="B34" t="n">
        <v>14</v>
      </c>
      <c r="C34" t="n">
        <v>3.04</v>
      </c>
      <c r="D34" t="n">
        <v>0.00156</v>
      </c>
      <c r="E34" s="6">
        <f>C34/D34</f>
        <v/>
      </c>
      <c r="F34" t="n">
        <v>1949</v>
      </c>
    </row>
    <row r="35">
      <c r="A35" t="inlineStr">
        <is>
          <t>Rab10</t>
        </is>
      </c>
      <c r="B35" t="n">
        <v>28</v>
      </c>
      <c r="C35" t="n">
        <v>3.23</v>
      </c>
      <c r="D35" t="n">
        <v>0.00156</v>
      </c>
      <c r="E35" s="6">
        <f>C35/D35</f>
        <v/>
      </c>
      <c r="F35" t="n">
        <v>2071</v>
      </c>
      <c r="G35" t="n">
        <v>2011</v>
      </c>
    </row>
    <row r="36">
      <c r="A36" t="inlineStr">
        <is>
          <t>Rab10</t>
        </is>
      </c>
      <c r="B36" t="n">
        <v>28</v>
      </c>
      <c r="C36" t="n">
        <v>3.12</v>
      </c>
      <c r="D36" t="n">
        <v>0.00156</v>
      </c>
      <c r="E36" s="6">
        <f>C36/D36</f>
        <v/>
      </c>
      <c r="F36" t="n">
        <v>2000</v>
      </c>
    </row>
    <row r="37">
      <c r="A37" t="inlineStr">
        <is>
          <t>Rab10</t>
        </is>
      </c>
      <c r="B37" t="n">
        <v>28</v>
      </c>
      <c r="C37" t="n">
        <v>3.06</v>
      </c>
      <c r="D37" t="n">
        <v>0.00156</v>
      </c>
      <c r="E37" s="6">
        <f>C37/D37</f>
        <v/>
      </c>
      <c r="F37" t="n">
        <v>1962</v>
      </c>
    </row>
    <row r="38">
      <c r="A38" t="inlineStr">
        <is>
          <t>Rab15</t>
        </is>
      </c>
      <c r="B38" t="n">
        <v>7</v>
      </c>
      <c r="C38" t="n">
        <v>3.21</v>
      </c>
      <c r="D38" t="n">
        <v>0.00156</v>
      </c>
      <c r="E38" s="6">
        <f>C38/D38</f>
        <v/>
      </c>
      <c r="F38" t="n">
        <v>2058</v>
      </c>
      <c r="G38" t="n">
        <v>2047</v>
      </c>
    </row>
    <row r="39">
      <c r="A39" t="inlineStr">
        <is>
          <t>Rab15</t>
        </is>
      </c>
      <c r="B39" t="n">
        <v>7</v>
      </c>
      <c r="C39" t="n">
        <v>3.17</v>
      </c>
      <c r="D39" t="n">
        <v>0.00156</v>
      </c>
      <c r="E39" s="6">
        <f>C39/D39</f>
        <v/>
      </c>
      <c r="F39" t="n">
        <v>2032</v>
      </c>
    </row>
    <row r="40">
      <c r="A40" t="inlineStr">
        <is>
          <t>Rab15</t>
        </is>
      </c>
      <c r="B40" t="n">
        <v>7</v>
      </c>
      <c r="C40" t="n">
        <v>3.2</v>
      </c>
      <c r="D40" t="n">
        <v>0.00156</v>
      </c>
      <c r="E40" s="6">
        <f>C40/D40</f>
        <v/>
      </c>
      <c r="F40" t="n">
        <v>2051</v>
      </c>
    </row>
    <row r="41">
      <c r="A41" t="inlineStr">
        <is>
          <t>Rab15</t>
        </is>
      </c>
      <c r="B41" t="n">
        <v>14</v>
      </c>
      <c r="C41" t="n">
        <v>3.22</v>
      </c>
      <c r="D41" t="n">
        <v>0.00156</v>
      </c>
      <c r="E41" s="6">
        <f>C41/D41</f>
        <v/>
      </c>
      <c r="F41" t="n">
        <v>2064</v>
      </c>
      <c r="G41" t="n">
        <v>2030</v>
      </c>
    </row>
    <row r="42">
      <c r="A42" t="inlineStr">
        <is>
          <t>Rab15</t>
        </is>
      </c>
      <c r="B42" t="n">
        <v>14</v>
      </c>
      <c r="C42" t="n">
        <v>3.12</v>
      </c>
      <c r="D42" t="n">
        <v>0.00156</v>
      </c>
      <c r="E42" s="6">
        <f>C42/D42</f>
        <v/>
      </c>
      <c r="F42" t="n">
        <v>2000</v>
      </c>
    </row>
    <row r="43">
      <c r="A43" t="inlineStr">
        <is>
          <t>Rab15</t>
        </is>
      </c>
      <c r="B43" t="n">
        <v>14</v>
      </c>
      <c r="C43" t="n">
        <v>3.16</v>
      </c>
      <c r="D43" t="n">
        <v>0.00156</v>
      </c>
      <c r="E43" s="6">
        <f>C43/D43</f>
        <v/>
      </c>
      <c r="F43" t="n">
        <v>2026</v>
      </c>
    </row>
    <row r="44">
      <c r="A44" t="inlineStr">
        <is>
          <t>Rab15</t>
        </is>
      </c>
      <c r="B44" t="n">
        <v>28</v>
      </c>
      <c r="C44" t="n">
        <v>3.19</v>
      </c>
      <c r="D44" t="n">
        <v>0.00156</v>
      </c>
      <c r="E44" s="6">
        <f>C44/D44</f>
        <v/>
      </c>
      <c r="F44" t="n">
        <v>2045</v>
      </c>
      <c r="G44" t="n">
        <v>2030</v>
      </c>
    </row>
    <row r="45">
      <c r="A45" t="inlineStr">
        <is>
          <t>Rab15</t>
        </is>
      </c>
      <c r="B45" t="n">
        <v>28</v>
      </c>
      <c r="C45" t="n">
        <v>3.18</v>
      </c>
      <c r="D45" t="n">
        <v>0.00156</v>
      </c>
      <c r="E45" s="6">
        <f>C45/D45</f>
        <v/>
      </c>
      <c r="F45" t="n">
        <v>2038</v>
      </c>
    </row>
    <row r="46">
      <c r="A46" t="inlineStr">
        <is>
          <t>Rab15</t>
        </is>
      </c>
      <c r="B46" t="n">
        <v>28</v>
      </c>
      <c r="C46" t="n">
        <v>3.13</v>
      </c>
      <c r="D46" t="n">
        <v>0.00156</v>
      </c>
      <c r="E46" s="6">
        <f>C46/D46</f>
        <v/>
      </c>
      <c r="F46" t="n">
        <v>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22" customWidth="1" min="7" max="7"/>
    <col width="20" customWidth="1" min="8" max="8"/>
    <col width="30" customWidth="1" min="9" max="9"/>
  </cols>
  <sheetData>
    <row r="1">
      <c r="A1" s="3" t="inlineStr">
        <is>
          <t>series</t>
        </is>
      </c>
      <c r="B1" s="3" t="inlineStr">
        <is>
          <t>mix</t>
        </is>
      </c>
      <c r="C1" s="3" t="inlineStr">
        <is>
          <t>age_d</t>
        </is>
      </c>
      <c r="D1" s="3" t="inlineStr">
        <is>
          <t>specimen</t>
        </is>
      </c>
      <c r="E1" s="3" t="inlineStr">
        <is>
          <t>wet_kg</t>
        </is>
      </c>
      <c r="F1" s="3" t="inlineStr">
        <is>
          <t>dry_kg</t>
        </is>
      </c>
      <c r="G1" s="3" t="inlineStr">
        <is>
          <t>absorption % (formula)</t>
        </is>
      </c>
      <c r="H1" s="3" t="inlineStr">
        <is>
          <t>absorption % printed</t>
        </is>
      </c>
      <c r="I1" s="3" t="inlineStr">
        <is>
          <t>flag</t>
        </is>
      </c>
    </row>
    <row r="2">
      <c r="A2" t="inlineStr">
        <is>
          <t>I</t>
        </is>
      </c>
      <c r="B2" t="inlineStr">
        <is>
          <t>Rab5</t>
        </is>
      </c>
      <c r="C2" t="n">
        <v>14</v>
      </c>
      <c r="D2" t="inlineStr">
        <is>
          <t>1</t>
        </is>
      </c>
      <c r="E2" t="n">
        <v>3.31</v>
      </c>
      <c r="F2" t="n">
        <v>3.28</v>
      </c>
      <c r="G2" s="5">
        <f>(E2-F2)/F2*100</f>
        <v/>
      </c>
      <c r="H2" t="n">
        <v>0.91</v>
      </c>
    </row>
    <row r="3">
      <c r="A3" t="inlineStr">
        <is>
          <t>I</t>
        </is>
      </c>
      <c r="B3" t="inlineStr">
        <is>
          <t>Rab5</t>
        </is>
      </c>
      <c r="C3" t="n">
        <v>14</v>
      </c>
      <c r="D3" t="inlineStr">
        <is>
          <t>2</t>
        </is>
      </c>
      <c r="E3" t="n">
        <v>3.39</v>
      </c>
      <c r="F3" t="n">
        <v>3.35</v>
      </c>
      <c r="G3" s="5">
        <f>(E3-F3)/F3*100</f>
        <v/>
      </c>
      <c r="H3" t="n">
        <v>1.19</v>
      </c>
    </row>
    <row r="4">
      <c r="A4" t="inlineStr">
        <is>
          <t>I</t>
        </is>
      </c>
      <c r="B4" t="inlineStr">
        <is>
          <t>Rab5</t>
        </is>
      </c>
      <c r="C4" t="n">
        <v>14</v>
      </c>
      <c r="D4" t="inlineStr">
        <is>
          <t>3</t>
        </is>
      </c>
      <c r="E4" t="n">
        <v>3.39</v>
      </c>
      <c r="F4" t="n">
        <v>3.36</v>
      </c>
      <c r="G4" s="5">
        <f>(E4-F4)/F4*100</f>
        <v/>
      </c>
      <c r="H4" t="n">
        <v>0.89</v>
      </c>
    </row>
    <row r="5">
      <c r="A5" t="inlineStr">
        <is>
          <t>I</t>
        </is>
      </c>
      <c r="B5" t="inlineStr">
        <is>
          <t>Rab5</t>
        </is>
      </c>
      <c r="C5" t="n">
        <v>28</v>
      </c>
      <c r="D5" t="inlineStr">
        <is>
          <t>1</t>
        </is>
      </c>
      <c r="E5" t="n">
        <v>3.41</v>
      </c>
      <c r="F5" t="n">
        <v>3.39</v>
      </c>
      <c r="G5" s="5">
        <f>(E5-F5)/F5*100</f>
        <v/>
      </c>
      <c r="H5" t="n">
        <v>0.59</v>
      </c>
    </row>
    <row r="6">
      <c r="A6" t="inlineStr">
        <is>
          <t>I</t>
        </is>
      </c>
      <c r="B6" t="inlineStr">
        <is>
          <t>Rab5</t>
        </is>
      </c>
      <c r="C6" t="n">
        <v>28</v>
      </c>
      <c r="D6" t="inlineStr">
        <is>
          <t>2</t>
        </is>
      </c>
      <c r="E6" t="n">
        <v>3.41</v>
      </c>
      <c r="F6" t="n">
        <v>3.38</v>
      </c>
      <c r="G6" s="5">
        <f>(E6-F6)/F6*100</f>
        <v/>
      </c>
      <c r="H6" t="n">
        <v>0.89</v>
      </c>
    </row>
    <row r="7">
      <c r="A7" t="inlineStr">
        <is>
          <t>I</t>
        </is>
      </c>
      <c r="B7" t="inlineStr">
        <is>
          <t>Rab5</t>
        </is>
      </c>
      <c r="C7" t="n">
        <v>28</v>
      </c>
      <c r="D7" t="inlineStr">
        <is>
          <t>3</t>
        </is>
      </c>
      <c r="E7" t="n">
        <v>3.31</v>
      </c>
      <c r="F7" t="n">
        <v>3.29</v>
      </c>
      <c r="G7" s="5">
        <f>(E7-F7)/F7*100</f>
        <v/>
      </c>
      <c r="H7" t="n">
        <v>0.61</v>
      </c>
    </row>
    <row r="8">
      <c r="A8" t="inlineStr">
        <is>
          <t>II</t>
        </is>
      </c>
      <c r="B8" t="inlineStr">
        <is>
          <t>RCA0</t>
        </is>
      </c>
      <c r="C8" t="n">
        <v>7</v>
      </c>
      <c r="D8" t="inlineStr">
        <is>
          <t>s1</t>
        </is>
      </c>
      <c r="H8" t="n">
        <v>1.16</v>
      </c>
    </row>
    <row r="9">
      <c r="A9" t="inlineStr">
        <is>
          <t>II</t>
        </is>
      </c>
      <c r="B9" t="inlineStr">
        <is>
          <t>RCA0</t>
        </is>
      </c>
      <c r="C9" t="n">
        <v>7</v>
      </c>
      <c r="D9" t="inlineStr">
        <is>
          <t>s2</t>
        </is>
      </c>
      <c r="H9" t="n">
        <v>0.9</v>
      </c>
    </row>
    <row r="10">
      <c r="A10" t="inlineStr">
        <is>
          <t>II</t>
        </is>
      </c>
      <c r="B10" t="inlineStr">
        <is>
          <t>RCA0</t>
        </is>
      </c>
      <c r="C10" t="n">
        <v>7</v>
      </c>
      <c r="D10" t="inlineStr">
        <is>
          <t>s3</t>
        </is>
      </c>
      <c r="H10" t="n">
        <v>0.91</v>
      </c>
    </row>
    <row r="11">
      <c r="A11" t="inlineStr">
        <is>
          <t>II</t>
        </is>
      </c>
      <c r="B11" t="inlineStr">
        <is>
          <t>RCA0</t>
        </is>
      </c>
      <c r="C11" t="n">
        <v>14</v>
      </c>
      <c r="D11" t="inlineStr">
        <is>
          <t>s1</t>
        </is>
      </c>
      <c r="H11" t="n">
        <v>1.18</v>
      </c>
    </row>
    <row r="12">
      <c r="A12" t="inlineStr">
        <is>
          <t>II</t>
        </is>
      </c>
      <c r="B12" t="inlineStr">
        <is>
          <t>RCA0</t>
        </is>
      </c>
      <c r="C12" t="n">
        <v>14</v>
      </c>
      <c r="D12" t="inlineStr">
        <is>
          <t>s2</t>
        </is>
      </c>
      <c r="H12" t="n">
        <v>0.9</v>
      </c>
    </row>
    <row r="13">
      <c r="A13" t="inlineStr">
        <is>
          <t>II</t>
        </is>
      </c>
      <c r="B13" t="inlineStr">
        <is>
          <t>RCA0</t>
        </is>
      </c>
      <c r="C13" t="n">
        <v>14</v>
      </c>
      <c r="D13" t="inlineStr">
        <is>
          <t>s3</t>
        </is>
      </c>
      <c r="H13" t="n">
        <v>0.9</v>
      </c>
    </row>
    <row r="14">
      <c r="A14" t="inlineStr">
        <is>
          <t>II</t>
        </is>
      </c>
      <c r="B14" t="inlineStr">
        <is>
          <t>RCA0</t>
        </is>
      </c>
      <c r="C14" t="n">
        <v>28</v>
      </c>
      <c r="D14" t="inlineStr">
        <is>
          <t>s1</t>
        </is>
      </c>
      <c r="H14" t="n">
        <v>0.87</v>
      </c>
    </row>
    <row r="15">
      <c r="A15" t="inlineStr">
        <is>
          <t>II</t>
        </is>
      </c>
      <c r="B15" t="inlineStr">
        <is>
          <t>RCA0</t>
        </is>
      </c>
      <c r="C15" t="n">
        <v>28</v>
      </c>
      <c r="D15" t="inlineStr">
        <is>
          <t>s2</t>
        </is>
      </c>
      <c r="H15" t="n">
        <v>0.89</v>
      </c>
    </row>
    <row r="16">
      <c r="A16" t="inlineStr">
        <is>
          <t>II</t>
        </is>
      </c>
      <c r="B16" t="inlineStr">
        <is>
          <t>RCA0</t>
        </is>
      </c>
      <c r="C16" t="n">
        <v>28</v>
      </c>
      <c r="D16" t="inlineStr">
        <is>
          <t>s3</t>
        </is>
      </c>
      <c r="H16" t="n">
        <v>0.89</v>
      </c>
    </row>
    <row r="17">
      <c r="A17" t="inlineStr">
        <is>
          <t>II</t>
        </is>
      </c>
      <c r="B17" t="inlineStr">
        <is>
          <t>RCA5</t>
        </is>
      </c>
      <c r="C17" t="n">
        <v>7</v>
      </c>
      <c r="D17" t="inlineStr">
        <is>
          <t>s1</t>
        </is>
      </c>
      <c r="H17" t="n">
        <v>0.6</v>
      </c>
    </row>
    <row r="18">
      <c r="A18" t="inlineStr">
        <is>
          <t>II</t>
        </is>
      </c>
      <c r="B18" t="inlineStr">
        <is>
          <t>RCA5</t>
        </is>
      </c>
      <c r="C18" t="n">
        <v>7</v>
      </c>
      <c r="D18" t="inlineStr">
        <is>
          <t>s2</t>
        </is>
      </c>
      <c r="H18" t="n">
        <v>0.6</v>
      </c>
    </row>
    <row r="19">
      <c r="A19" t="inlineStr">
        <is>
          <t>II</t>
        </is>
      </c>
      <c r="B19" t="inlineStr">
        <is>
          <t>RCA5</t>
        </is>
      </c>
      <c r="C19" t="n">
        <v>7</v>
      </c>
      <c r="D19" t="inlineStr">
        <is>
          <t>s3</t>
        </is>
      </c>
      <c r="H19" t="n">
        <v>0.59</v>
      </c>
    </row>
    <row r="20">
      <c r="A20" t="inlineStr">
        <is>
          <t>II</t>
        </is>
      </c>
      <c r="B20" t="inlineStr">
        <is>
          <t>RCA5</t>
        </is>
      </c>
      <c r="C20" t="n">
        <v>14</v>
      </c>
      <c r="D20" t="inlineStr">
        <is>
          <t>s1</t>
        </is>
      </c>
      <c r="H20" t="n">
        <v>0.6</v>
      </c>
    </row>
    <row r="21">
      <c r="A21" t="inlineStr">
        <is>
          <t>II</t>
        </is>
      </c>
      <c r="B21" t="inlineStr">
        <is>
          <t>RCA5</t>
        </is>
      </c>
      <c r="C21" t="n">
        <v>14</v>
      </c>
      <c r="D21" t="inlineStr">
        <is>
          <t>s2</t>
        </is>
      </c>
      <c r="H21" t="n">
        <v>0.61</v>
      </c>
    </row>
    <row r="22">
      <c r="A22" t="inlineStr">
        <is>
          <t>II</t>
        </is>
      </c>
      <c r="B22" t="inlineStr">
        <is>
          <t>RCA5</t>
        </is>
      </c>
      <c r="C22" t="n">
        <v>14</v>
      </c>
      <c r="D22" t="inlineStr">
        <is>
          <t>s3</t>
        </is>
      </c>
      <c r="H22" t="n">
        <v>0.61</v>
      </c>
    </row>
    <row r="23">
      <c r="A23" t="inlineStr">
        <is>
          <t>II</t>
        </is>
      </c>
      <c r="B23" t="inlineStr">
        <is>
          <t>RCA5</t>
        </is>
      </c>
      <c r="C23" t="n">
        <v>28</v>
      </c>
      <c r="D23" t="inlineStr">
        <is>
          <t>s1</t>
        </is>
      </c>
      <c r="H23" t="n">
        <v>0.3</v>
      </c>
    </row>
    <row r="24">
      <c r="A24" t="inlineStr">
        <is>
          <t>II</t>
        </is>
      </c>
      <c r="B24" t="inlineStr">
        <is>
          <t>RCA5</t>
        </is>
      </c>
      <c r="C24" t="n">
        <v>28</v>
      </c>
      <c r="D24" t="inlineStr">
        <is>
          <t>s2</t>
        </is>
      </c>
      <c r="H24" t="n">
        <v>0.3</v>
      </c>
    </row>
    <row r="25">
      <c r="A25" t="inlineStr">
        <is>
          <t>II</t>
        </is>
      </c>
      <c r="B25" t="inlineStr">
        <is>
          <t>RCA5</t>
        </is>
      </c>
      <c r="C25" t="n">
        <v>28</v>
      </c>
      <c r="D25" t="inlineStr">
        <is>
          <t>s3</t>
        </is>
      </c>
      <c r="H25" t="n">
        <v>0.6</v>
      </c>
    </row>
    <row r="26">
      <c r="A26" t="inlineStr">
        <is>
          <t>II</t>
        </is>
      </c>
      <c r="B26" t="inlineStr">
        <is>
          <t>RCA10</t>
        </is>
      </c>
      <c r="C26" t="n">
        <v>7</v>
      </c>
      <c r="D26" t="inlineStr">
        <is>
          <t>s1</t>
        </is>
      </c>
      <c r="H26" t="n">
        <v>0.3</v>
      </c>
    </row>
    <row r="27">
      <c r="A27" t="inlineStr">
        <is>
          <t>II</t>
        </is>
      </c>
      <c r="B27" t="inlineStr">
        <is>
          <t>RCA10</t>
        </is>
      </c>
      <c r="C27" t="n">
        <v>7</v>
      </c>
      <c r="D27" t="inlineStr">
        <is>
          <t>s2</t>
        </is>
      </c>
      <c r="H27" t="n">
        <v>0.6</v>
      </c>
    </row>
    <row r="28">
      <c r="A28" t="inlineStr">
        <is>
          <t>II</t>
        </is>
      </c>
      <c r="B28" t="inlineStr">
        <is>
          <t>RCA10</t>
        </is>
      </c>
      <c r="C28" t="n">
        <v>7</v>
      </c>
      <c r="D28" t="inlineStr">
        <is>
          <t>s3</t>
        </is>
      </c>
      <c r="H28" t="n">
        <v>0.91</v>
      </c>
    </row>
    <row r="29">
      <c r="A29" t="inlineStr">
        <is>
          <t>II</t>
        </is>
      </c>
      <c r="B29" t="inlineStr">
        <is>
          <t>RCA10</t>
        </is>
      </c>
      <c r="C29" t="n">
        <v>14</v>
      </c>
      <c r="D29" t="inlineStr">
        <is>
          <t>s1</t>
        </is>
      </c>
      <c r="H29" t="n">
        <v>2.69</v>
      </c>
      <c r="I29" s="4" t="inlineStr">
        <is>
          <t>re-test needed (see Appendix B)</t>
        </is>
      </c>
    </row>
    <row r="30">
      <c r="A30" t="inlineStr">
        <is>
          <t>II</t>
        </is>
      </c>
      <c r="B30" t="inlineStr">
        <is>
          <t>RCA10</t>
        </is>
      </c>
      <c r="C30" t="n">
        <v>14</v>
      </c>
      <c r="D30" t="inlineStr">
        <is>
          <t>s2</t>
        </is>
      </c>
      <c r="H30" t="n">
        <v>2.74</v>
      </c>
      <c r="I30" s="4" t="inlineStr">
        <is>
          <t>re-test needed (see Appendix B)</t>
        </is>
      </c>
    </row>
    <row r="31">
      <c r="A31" t="inlineStr">
        <is>
          <t>II</t>
        </is>
      </c>
      <c r="B31" t="inlineStr">
        <is>
          <t>RCA10</t>
        </is>
      </c>
      <c r="C31" t="n">
        <v>14</v>
      </c>
      <c r="D31" t="inlineStr">
        <is>
          <t>s3</t>
        </is>
      </c>
      <c r="H31" t="n">
        <v>2.77</v>
      </c>
      <c r="I31" s="4" t="inlineStr">
        <is>
          <t>re-test needed (see Appendix B)</t>
        </is>
      </c>
    </row>
    <row r="32">
      <c r="A32" t="inlineStr">
        <is>
          <t>II</t>
        </is>
      </c>
      <c r="B32" t="inlineStr">
        <is>
          <t>RCA10</t>
        </is>
      </c>
      <c r="C32" t="n">
        <v>28</v>
      </c>
      <c r="D32" t="inlineStr">
        <is>
          <t>s1</t>
        </is>
      </c>
      <c r="H32" t="n">
        <v>1.47</v>
      </c>
    </row>
    <row r="33">
      <c r="A33" t="inlineStr">
        <is>
          <t>II</t>
        </is>
      </c>
      <c r="B33" t="inlineStr">
        <is>
          <t>RCA10</t>
        </is>
      </c>
      <c r="C33" t="n">
        <v>28</v>
      </c>
      <c r="D33" t="inlineStr">
        <is>
          <t>s2</t>
        </is>
      </c>
      <c r="H33" t="n">
        <v>1.52</v>
      </c>
    </row>
    <row r="34">
      <c r="A34" t="inlineStr">
        <is>
          <t>II</t>
        </is>
      </c>
      <c r="B34" t="inlineStr">
        <is>
          <t>RCA10</t>
        </is>
      </c>
      <c r="C34" t="n">
        <v>28</v>
      </c>
      <c r="D34" t="inlineStr">
        <is>
          <t>s3</t>
        </is>
      </c>
      <c r="H34" t="n">
        <v>1.53</v>
      </c>
    </row>
    <row r="35">
      <c r="A35" t="inlineStr">
        <is>
          <t>II</t>
        </is>
      </c>
      <c r="B35" t="inlineStr">
        <is>
          <t>RCA15</t>
        </is>
      </c>
      <c r="C35" t="n">
        <v>7</v>
      </c>
      <c r="D35" t="inlineStr">
        <is>
          <t>s1</t>
        </is>
      </c>
      <c r="H35" t="n">
        <v>0.29</v>
      </c>
    </row>
    <row r="36">
      <c r="A36" t="inlineStr">
        <is>
          <t>II</t>
        </is>
      </c>
      <c r="B36" t="inlineStr">
        <is>
          <t>RCA15</t>
        </is>
      </c>
      <c r="C36" t="n">
        <v>7</v>
      </c>
      <c r="D36" t="inlineStr">
        <is>
          <t>s2</t>
        </is>
      </c>
      <c r="H36" t="n">
        <v>0.3</v>
      </c>
    </row>
    <row r="37">
      <c r="A37" t="inlineStr">
        <is>
          <t>II</t>
        </is>
      </c>
      <c r="B37" t="inlineStr">
        <is>
          <t>RCA15</t>
        </is>
      </c>
      <c r="C37" t="n">
        <v>7</v>
      </c>
      <c r="D37" t="inlineStr">
        <is>
          <t>s3</t>
        </is>
      </c>
      <c r="H37" t="n">
        <v>0.61</v>
      </c>
    </row>
    <row r="38">
      <c r="A38" t="inlineStr">
        <is>
          <t>II</t>
        </is>
      </c>
      <c r="B38" t="inlineStr">
        <is>
          <t>RCA15</t>
        </is>
      </c>
      <c r="C38" t="n">
        <v>14</v>
      </c>
      <c r="D38" t="inlineStr">
        <is>
          <t>s1</t>
        </is>
      </c>
      <c r="H38" t="n">
        <v>2.69</v>
      </c>
      <c r="I38" s="4" t="inlineStr">
        <is>
          <t>re-test needed (see Appendix B)</t>
        </is>
      </c>
    </row>
    <row r="39">
      <c r="A39" t="inlineStr">
        <is>
          <t>II</t>
        </is>
      </c>
      <c r="B39" t="inlineStr">
        <is>
          <t>RCA15</t>
        </is>
      </c>
      <c r="C39" t="n">
        <v>14</v>
      </c>
      <c r="D39" t="inlineStr">
        <is>
          <t>s2</t>
        </is>
      </c>
      <c r="H39" t="n">
        <v>2.4</v>
      </c>
      <c r="I39" s="4" t="inlineStr">
        <is>
          <t>re-test needed (see Appendix B)</t>
        </is>
      </c>
    </row>
    <row r="40">
      <c r="A40" t="inlineStr">
        <is>
          <t>II</t>
        </is>
      </c>
      <c r="B40" t="inlineStr">
        <is>
          <t>RCA15</t>
        </is>
      </c>
      <c r="C40" t="n">
        <v>14</v>
      </c>
      <c r="D40" t="inlineStr">
        <is>
          <t>s3</t>
        </is>
      </c>
      <c r="H40" t="n">
        <v>2.68</v>
      </c>
      <c r="I40" s="4" t="inlineStr">
        <is>
          <t>re-test needed (see Appendix B)</t>
        </is>
      </c>
    </row>
    <row r="41">
      <c r="A41" t="inlineStr">
        <is>
          <t>II</t>
        </is>
      </c>
      <c r="B41" t="inlineStr">
        <is>
          <t>RCA15</t>
        </is>
      </c>
      <c r="C41" t="n">
        <v>28</v>
      </c>
      <c r="D41" t="inlineStr">
        <is>
          <t>s1</t>
        </is>
      </c>
      <c r="H41" t="n">
        <v>0.29</v>
      </c>
      <c r="I41" s="4" t="inlineStr">
        <is>
          <t>re-test needed (see Appendix B)</t>
        </is>
      </c>
    </row>
    <row r="42">
      <c r="A42" t="inlineStr">
        <is>
          <t>II</t>
        </is>
      </c>
      <c r="B42" t="inlineStr">
        <is>
          <t>RCA15</t>
        </is>
      </c>
      <c r="C42" t="n">
        <v>28</v>
      </c>
      <c r="D42" t="inlineStr">
        <is>
          <t>s2</t>
        </is>
      </c>
      <c r="H42" t="n">
        <v>0.3</v>
      </c>
      <c r="I42" s="4" t="inlineStr">
        <is>
          <t>re-test needed (see Appendix B)</t>
        </is>
      </c>
    </row>
    <row r="43">
      <c r="A43" t="inlineStr">
        <is>
          <t>II</t>
        </is>
      </c>
      <c r="B43" t="inlineStr">
        <is>
          <t>RCA15</t>
        </is>
      </c>
      <c r="C43" t="n">
        <v>28</v>
      </c>
      <c r="D43" t="inlineStr">
        <is>
          <t>s3</t>
        </is>
      </c>
      <c r="H43" t="n">
        <v>0.61</v>
      </c>
      <c r="I43" s="4" t="inlineStr">
        <is>
          <t>re-test needed (see Appendix 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mix</t>
        </is>
      </c>
      <c r="B1" s="3" t="inlineStr">
        <is>
          <t>f7/f28 measured</t>
        </is>
      </c>
      <c r="C1" s="3" t="inlineStr">
        <is>
          <t>f14/f28 measured</t>
        </is>
      </c>
      <c r="D1" s="3" t="inlineStr">
        <is>
          <t>s (input)</t>
        </is>
      </c>
      <c r="E1" s="3" t="inlineStr">
        <is>
          <t>beta(7) model</t>
        </is>
      </c>
      <c r="F1" s="3" t="inlineStr">
        <is>
          <t>beta(14) model</t>
        </is>
      </c>
      <c r="G1" s="3" t="inlineStr">
        <is>
          <t>7-d residual</t>
        </is>
      </c>
      <c r="H1" s="3" t="inlineStr">
        <is>
          <t>14-d residual</t>
        </is>
      </c>
    </row>
    <row r="2">
      <c r="A2" t="inlineStr">
        <is>
          <t>NA</t>
        </is>
      </c>
      <c r="B2" t="n">
        <v>0.71771902993227</v>
      </c>
      <c r="C2" t="n">
        <v>0.885514529167577</v>
      </c>
      <c r="D2" s="7" t="n">
        <v>0.326</v>
      </c>
      <c r="E2" s="8">
        <f>EXP(D2*(1-(28/7)^0.5))</f>
        <v/>
      </c>
      <c r="F2" s="8">
        <f>EXP(D2*(1-(28/14)^0.5))</f>
        <v/>
      </c>
      <c r="G2" s="8">
        <f>B2-E2</f>
        <v/>
      </c>
      <c r="H2" s="8">
        <f>C2-F2</f>
        <v/>
      </c>
    </row>
    <row r="3">
      <c r="A3" t="inlineStr">
        <is>
          <t>RA</t>
        </is>
      </c>
      <c r="B3" t="n">
        <v>0.5090969235858419</v>
      </c>
      <c r="C3" t="n">
        <v>0.7184915646708567</v>
      </c>
      <c r="D3" s="7" t="n">
        <v>0.6929999999999999</v>
      </c>
      <c r="E3" s="8">
        <f>EXP(D3*(1-(28/7)^0.5))</f>
        <v/>
      </c>
      <c r="F3" s="8">
        <f>EXP(D3*(1-(28/14)^0.5))</f>
        <v/>
      </c>
      <c r="G3" s="8">
        <f>B3-E3</f>
        <v/>
      </c>
      <c r="H3" s="8">
        <f>C3-F3</f>
        <v/>
      </c>
    </row>
    <row r="4">
      <c r="A4" t="inlineStr">
        <is>
          <t>Rab10</t>
        </is>
      </c>
      <c r="B4" t="n">
        <v>0.7040894081788164</v>
      </c>
      <c r="C4" t="n">
        <v>0.9718059436118872</v>
      </c>
      <c r="D4" s="7" t="n">
        <v>0.31</v>
      </c>
      <c r="E4" s="8">
        <f>EXP(D4*(1-(28/7)^0.5))</f>
        <v/>
      </c>
      <c r="F4" s="8">
        <f>EXP(D4*(1-(28/14)^0.5))</f>
        <v/>
      </c>
      <c r="G4" s="8">
        <f>B4-E4</f>
        <v/>
      </c>
      <c r="H4" s="8">
        <f>C4-F4</f>
        <v/>
      </c>
    </row>
    <row r="5">
      <c r="A5" t="inlineStr">
        <is>
          <t>Rab15</t>
        </is>
      </c>
      <c r="B5" t="n">
        <v>0.7650935934616399</v>
      </c>
      <c r="C5" t="n">
        <v>0.9325072501977326</v>
      </c>
      <c r="D5" s="7" t="n">
        <v>0.253</v>
      </c>
      <c r="E5" s="8">
        <f>EXP(D5*(1-(28/7)^0.5))</f>
        <v/>
      </c>
      <c r="F5" s="8">
        <f>EXP(D5*(1-(28/14)^0.5))</f>
        <v/>
      </c>
      <c r="G5" s="8">
        <f>B5-E5</f>
        <v/>
      </c>
      <c r="H5" s="8">
        <f>C5-F5</f>
        <v/>
      </c>
    </row>
    <row r="6">
      <c r="A6" t="inlineStr">
        <is>
          <t>Rab5</t>
        </is>
      </c>
      <c r="B6" t="n">
        <v>0.7550626808100289</v>
      </c>
      <c r="C6" t="n">
        <v>0.8221793635486982</v>
      </c>
      <c r="D6" s="7" t="n">
        <v>0.309</v>
      </c>
      <c r="E6" s="8">
        <f>EXP(D6*(1-(28/7)^0.5))</f>
        <v/>
      </c>
      <c r="F6" s="8">
        <f>EXP(D6*(1-(28/14)^0.5))</f>
        <v/>
      </c>
      <c r="G6" s="8">
        <f>B6-E6</f>
        <v/>
      </c>
      <c r="H6" s="8">
        <f>C6-F6</f>
        <v/>
      </c>
    </row>
    <row r="7">
      <c r="A7" t="inlineStr">
        <is>
          <t>RCA0</t>
        </is>
      </c>
      <c r="B7" t="n">
        <v>0.4208912141439653</v>
      </c>
      <c r="C7" t="n">
        <v>0.8497203680317518</v>
      </c>
      <c r="D7" s="7" t="n">
        <v>0.796</v>
      </c>
      <c r="E7" s="8">
        <f>EXP(D7*(1-(28/7)^0.5))</f>
        <v/>
      </c>
      <c r="F7" s="8">
        <f>EXP(D7*(1-(28/14)^0.5))</f>
        <v/>
      </c>
      <c r="G7" s="8">
        <f>B7-E7</f>
        <v/>
      </c>
      <c r="H7" s="8">
        <f>C7-F7</f>
        <v/>
      </c>
    </row>
    <row r="8">
      <c r="A8" t="inlineStr">
        <is>
          <t>RCA10</t>
        </is>
      </c>
      <c r="B8" t="n">
        <v>0.4634822301923703</v>
      </c>
      <c r="C8" t="n">
        <v>0.8708835996087382</v>
      </c>
      <c r="D8" s="7" t="n">
        <v>0.705</v>
      </c>
      <c r="E8" s="8">
        <f>EXP(D8*(1-(28/7)^0.5))</f>
        <v/>
      </c>
      <c r="F8" s="8">
        <f>EXP(D8*(1-(28/14)^0.5))</f>
        <v/>
      </c>
      <c r="G8" s="8">
        <f>B8-E8</f>
        <v/>
      </c>
      <c r="H8" s="8">
        <f>C8-F8</f>
        <v/>
      </c>
    </row>
    <row r="9">
      <c r="A9" t="inlineStr">
        <is>
          <t>RCA15</t>
        </is>
      </c>
      <c r="B9" t="n">
        <v>0.5512140215468725</v>
      </c>
      <c r="C9" t="n">
        <v>0.8808490110950314</v>
      </c>
      <c r="D9" s="7" t="n">
        <v>0.553</v>
      </c>
      <c r="E9" s="8">
        <f>EXP(D9*(1-(28/7)^0.5))</f>
        <v/>
      </c>
      <c r="F9" s="8">
        <f>EXP(D9*(1-(28/14)^0.5))</f>
        <v/>
      </c>
      <c r="G9" s="8">
        <f>B9-E9</f>
        <v/>
      </c>
      <c r="H9" s="8">
        <f>C9-F9</f>
        <v/>
      </c>
    </row>
    <row r="10">
      <c r="A10" t="inlineStr">
        <is>
          <t>RCA5</t>
        </is>
      </c>
      <c r="B10" t="n">
        <v>0.4264036418816388</v>
      </c>
      <c r="C10" t="n">
        <v>0.8214466363176529</v>
      </c>
      <c r="D10" s="7" t="n">
        <v>0.797</v>
      </c>
      <c r="E10" s="8">
        <f>EXP(D10*(1-(28/7)^0.5))</f>
        <v/>
      </c>
      <c r="F10" s="8">
        <f>EXP(D10*(1-(28/14)^0.5))</f>
        <v/>
      </c>
      <c r="G10" s="8">
        <f>B10-E10</f>
        <v/>
      </c>
      <c r="H10" s="8">
        <f>C10-F10</f>
        <v/>
      </c>
    </row>
    <row r="12">
      <c r="A12" s="4" t="inlineStr">
        <is>
          <t>EN 1992-1-1 reference s: 0.20 (rapid), 0.25 (normal), 0.38 (slow) — values as quoted in report chapter 2; confirm against the standard.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Block volume (m3)</t>
        </is>
      </c>
      <c r="B1" t="n">
        <v>0.00156</v>
      </c>
    </row>
    <row r="2">
      <c r="A2" s="4" t="inlineStr">
        <is>
          <t>Emission factors (kg CO2e per kg) — ASSUMED [Place Holder]</t>
        </is>
      </c>
    </row>
    <row r="3">
      <c r="A3" s="3" t="inlineStr">
        <is>
          <t>material</t>
        </is>
      </c>
      <c r="B3" s="3" t="inlineStr">
        <is>
          <t>EF (mode)</t>
        </is>
      </c>
      <c r="C3" s="3" t="inlineStr">
        <is>
          <t>low</t>
        </is>
      </c>
      <c r="D3" s="3" t="inlineStr">
        <is>
          <t>high</t>
        </is>
      </c>
      <c r="E3" s="3" t="inlineStr">
        <is>
          <t>status</t>
        </is>
      </c>
    </row>
    <row r="4">
      <c r="A4" t="inlineStr">
        <is>
          <t>cement</t>
        </is>
      </c>
      <c r="B4" s="9" t="n">
        <v>0.76</v>
      </c>
      <c r="C4" s="9" t="n">
        <v>0.63</v>
      </c>
      <c r="D4" s="9" t="n">
        <v>0.9</v>
      </c>
      <c r="E4" t="inlineStr">
        <is>
          <t>mode: Thai OPC 0.76 (Khongprom &amp; Suwanmanee 2017); high = assumed</t>
        </is>
      </c>
    </row>
    <row r="5">
      <c r="A5" t="inlineStr">
        <is>
          <t>sand</t>
        </is>
      </c>
      <c r="B5" s="9" t="n">
        <v>0.004</v>
      </c>
      <c r="C5" s="9" t="n">
        <v>0.002</v>
      </c>
      <c r="D5" s="9" t="n">
        <v>0.008</v>
      </c>
      <c r="E5" t="inlineStr">
        <is>
          <t>ASSUMED — replace with Thai LCI / TGO / ecoinvent value</t>
        </is>
      </c>
    </row>
    <row r="6">
      <c r="A6" t="inlineStr">
        <is>
          <t>stone</t>
        </is>
      </c>
      <c r="B6" s="9" t="n">
        <v>0.005</v>
      </c>
      <c r="C6" s="9" t="n">
        <v>0.003</v>
      </c>
      <c r="D6" s="9" t="n">
        <v>0.008999999999999999</v>
      </c>
      <c r="E6" t="inlineStr">
        <is>
          <t>ASSUMED — replace with Thai LCI / TGO / ecoinvent value</t>
        </is>
      </c>
    </row>
    <row r="7">
      <c r="A7" t="inlineStr">
        <is>
          <t>rca</t>
        </is>
      </c>
      <c r="B7" s="9" t="n">
        <v>0.006</v>
      </c>
      <c r="C7" s="9" t="n">
        <v>0.003</v>
      </c>
      <c r="D7" s="9" t="n">
        <v>0.012</v>
      </c>
      <c r="E7" t="inlineStr">
        <is>
          <t>ASSUMED — replace with Thai LCI / TGO / ecoinvent value</t>
        </is>
      </c>
    </row>
    <row r="8">
      <c r="A8" t="inlineStr">
        <is>
          <t>biochar</t>
        </is>
      </c>
      <c r="B8" s="9" t="n">
        <v>0.25</v>
      </c>
      <c r="C8" s="9" t="n">
        <v>0.05</v>
      </c>
      <c r="D8" s="9" t="n">
        <v>0.6</v>
      </c>
      <c r="E8" t="inlineStr">
        <is>
          <t>ASSUMED — replace with Thai LCI / TGO / ecoinvent value</t>
        </is>
      </c>
    </row>
    <row r="9">
      <c r="A9" t="inlineStr">
        <is>
          <t>Carbon fraction of biochar</t>
        </is>
      </c>
      <c r="B9" s="9" t="n">
        <v>0.75</v>
      </c>
    </row>
    <row r="10">
      <c r="A10" t="inlineStr">
        <is>
          <t>Permanence over 100 y</t>
        </is>
      </c>
      <c r="B10" s="9" t="n">
        <v>0.8</v>
      </c>
    </row>
    <row r="11">
      <c r="A11" t="inlineStr">
        <is>
          <t>44/12</t>
        </is>
      </c>
      <c r="B11">
        <f>44/12</f>
        <v/>
      </c>
    </row>
    <row r="13">
      <c r="A13" s="3" t="inlineStr">
        <is>
          <t>mix</t>
        </is>
      </c>
      <c r="B13" s="3" t="inlineStr">
        <is>
          <t>cement g/block</t>
        </is>
      </c>
      <c r="C13" s="3" t="inlineStr">
        <is>
          <t>sand g</t>
        </is>
      </c>
      <c r="D13" s="3" t="inlineStr">
        <is>
          <t>stone g</t>
        </is>
      </c>
      <c r="E13" s="3" t="inlineStr">
        <is>
          <t>RCA g</t>
        </is>
      </c>
      <c r="F13" s="3" t="inlineStr">
        <is>
          <t>biochar g</t>
        </is>
      </c>
      <c r="G13" s="3" t="inlineStr">
        <is>
          <t>cement kg/m3</t>
        </is>
      </c>
      <c r="H13" s="3" t="inlineStr">
        <is>
          <t>sand kg/m3</t>
        </is>
      </c>
      <c r="I13" s="3" t="inlineStr">
        <is>
          <t>stone kg/m3</t>
        </is>
      </c>
      <c r="J13" s="3" t="inlineStr">
        <is>
          <t>RCA kg/m3</t>
        </is>
      </c>
      <c r="K13" s="3" t="inlineStr">
        <is>
          <t>biochar kg/m3</t>
        </is>
      </c>
      <c r="L13" s="3" t="inlineStr">
        <is>
          <t>GWP A</t>
        </is>
      </c>
      <c r="M13" s="3" t="inlineStr">
        <is>
          <t>biochar credit</t>
        </is>
      </c>
      <c r="N13" s="3" t="inlineStr">
        <is>
          <t>GWP B</t>
        </is>
      </c>
      <c r="O13" s="3" t="inlineStr">
        <is>
          <t>cement share of A %</t>
        </is>
      </c>
      <c r="P13" s="3" t="inlineStr">
        <is>
          <t>f_c 28 d</t>
        </is>
      </c>
      <c r="Q13" s="3" t="inlineStr">
        <is>
          <t>ci A</t>
        </is>
      </c>
      <c r="R13" s="3" t="inlineStr">
        <is>
          <t>ci B</t>
        </is>
      </c>
      <c r="S13" s="3" t="inlineStr">
        <is>
          <t>bi (kg cement / m3 / MPa)</t>
        </is>
      </c>
    </row>
    <row r="14">
      <c r="A14" t="inlineStr">
        <is>
          <t>NA</t>
        </is>
      </c>
      <c r="B14" t="n">
        <v>600</v>
      </c>
      <c r="C14" t="n">
        <v>1800</v>
      </c>
      <c r="D14" t="n">
        <v>900</v>
      </c>
      <c r="E14" t="n">
        <v>0</v>
      </c>
      <c r="F14" t="n">
        <v>0</v>
      </c>
      <c r="G14" s="10">
        <f>B14/1000/$B$1</f>
        <v/>
      </c>
      <c r="H14" s="10">
        <f>C14/1000/$B$1</f>
        <v/>
      </c>
      <c r="I14" s="10">
        <f>D14/1000/$B$1</f>
        <v/>
      </c>
      <c r="J14" s="10">
        <f>E14/1000/$B$1</f>
        <v/>
      </c>
      <c r="K14" s="10">
        <f>F14/1000/$B$1</f>
        <v/>
      </c>
      <c r="L14" s="10">
        <f>G14*$B$4+H14*$B$5+I14*$B$6+J14*$B$7+K14*$B$8</f>
        <v/>
      </c>
      <c r="M14" s="10">
        <f>K14*$B$9*$B$10*$B$11</f>
        <v/>
      </c>
      <c r="N14" s="10">
        <f>L14-M14</f>
        <v/>
      </c>
      <c r="O14" s="10">
        <f>G14*$B$4/L14*100</f>
        <v/>
      </c>
      <c r="P14" t="n">
        <v>91.54000000000001</v>
      </c>
      <c r="Q14" s="5">
        <f>L14/P14</f>
        <v/>
      </c>
      <c r="R14" s="5">
        <f>N14/P14</f>
        <v/>
      </c>
      <c r="S14" s="5">
        <f>G14/P14</f>
        <v/>
      </c>
    </row>
    <row r="15">
      <c r="A15" t="inlineStr">
        <is>
          <t>RA</t>
        </is>
      </c>
      <c r="B15" t="n">
        <v>600</v>
      </c>
      <c r="C15" t="n">
        <v>900</v>
      </c>
      <c r="D15" t="n">
        <v>900</v>
      </c>
      <c r="E15" t="n">
        <v>900</v>
      </c>
      <c r="F15" t="n">
        <v>0</v>
      </c>
      <c r="G15" s="10">
        <f>B15/1000/$B$1</f>
        <v/>
      </c>
      <c r="H15" s="10">
        <f>C15/1000/$B$1</f>
        <v/>
      </c>
      <c r="I15" s="10">
        <f>D15/1000/$B$1</f>
        <v/>
      </c>
      <c r="J15" s="10">
        <f>E15/1000/$B$1</f>
        <v/>
      </c>
      <c r="K15" s="10">
        <f>F15/1000/$B$1</f>
        <v/>
      </c>
      <c r="L15" s="10">
        <f>G15*$B$4+H15*$B$5+I15*$B$6+J15*$B$7+K15*$B$8</f>
        <v/>
      </c>
      <c r="M15" s="10">
        <f>K15*$B$9*$B$10*$B$11</f>
        <v/>
      </c>
      <c r="N15" s="10">
        <f>L15-M15</f>
        <v/>
      </c>
      <c r="O15" s="10">
        <f>G15*$B$4/L15*100</f>
        <v/>
      </c>
      <c r="P15" t="n">
        <v>60.46</v>
      </c>
      <c r="Q15" s="5">
        <f>L15/P15</f>
        <v/>
      </c>
      <c r="R15" s="5">
        <f>N15/P15</f>
        <v/>
      </c>
      <c r="S15" s="5">
        <f>G15/P15</f>
        <v/>
      </c>
    </row>
    <row r="16">
      <c r="A16" t="inlineStr">
        <is>
          <t>Rab5</t>
        </is>
      </c>
      <c r="B16" t="n">
        <v>570</v>
      </c>
      <c r="C16" t="n">
        <v>900</v>
      </c>
      <c r="D16" t="n">
        <v>900</v>
      </c>
      <c r="E16" t="n">
        <v>900</v>
      </c>
      <c r="F16" t="n">
        <v>45</v>
      </c>
      <c r="G16" s="10">
        <f>B16/1000/$B$1</f>
        <v/>
      </c>
      <c r="H16" s="10">
        <f>C16/1000/$B$1</f>
        <v/>
      </c>
      <c r="I16" s="10">
        <f>D16/1000/$B$1</f>
        <v/>
      </c>
      <c r="J16" s="10">
        <f>E16/1000/$B$1</f>
        <v/>
      </c>
      <c r="K16" s="10">
        <f>F16/1000/$B$1</f>
        <v/>
      </c>
      <c r="L16" s="10">
        <f>G16*$B$4+H16*$B$5+I16*$B$6+J16*$B$7+K16*$B$8</f>
        <v/>
      </c>
      <c r="M16" s="10">
        <f>K16*$B$9*$B$10*$B$11</f>
        <v/>
      </c>
      <c r="N16" s="10">
        <f>L16-M16</f>
        <v/>
      </c>
      <c r="O16" s="10">
        <f>G16*$B$4/L16*100</f>
        <v/>
      </c>
      <c r="P16" t="n">
        <v>51.85</v>
      </c>
      <c r="Q16" s="5">
        <f>L16/P16</f>
        <v/>
      </c>
      <c r="R16" s="5">
        <f>N16/P16</f>
        <v/>
      </c>
      <c r="S16" s="5">
        <f>G16/P16</f>
        <v/>
      </c>
    </row>
    <row r="17">
      <c r="A17" t="inlineStr">
        <is>
          <t>Rab10</t>
        </is>
      </c>
      <c r="B17" t="n">
        <v>540</v>
      </c>
      <c r="C17" t="n">
        <v>900</v>
      </c>
      <c r="D17" t="n">
        <v>900</v>
      </c>
      <c r="E17" t="n">
        <v>900</v>
      </c>
      <c r="F17" t="n">
        <v>90</v>
      </c>
      <c r="G17" s="10">
        <f>B17/1000/$B$1</f>
        <v/>
      </c>
      <c r="H17" s="10">
        <f>C17/1000/$B$1</f>
        <v/>
      </c>
      <c r="I17" s="10">
        <f>D17/1000/$B$1</f>
        <v/>
      </c>
      <c r="J17" s="10">
        <f>E17/1000/$B$1</f>
        <v/>
      </c>
      <c r="K17" s="10">
        <f>F17/1000/$B$1</f>
        <v/>
      </c>
      <c r="L17" s="10">
        <f>G17*$B$4+H17*$B$5+I17*$B$6+J17*$B$7+K17*$B$8</f>
        <v/>
      </c>
      <c r="M17" s="10">
        <f>K17*$B$9*$B$10*$B$11</f>
        <v/>
      </c>
      <c r="N17" s="10">
        <f>L17-M17</f>
        <v/>
      </c>
      <c r="O17" s="10">
        <f>G17*$B$4/L17*100</f>
        <v/>
      </c>
      <c r="P17" t="n">
        <v>39.37</v>
      </c>
      <c r="Q17" s="5">
        <f>L17/P17</f>
        <v/>
      </c>
      <c r="R17" s="5">
        <f>N17/P17</f>
        <v/>
      </c>
      <c r="S17" s="5">
        <f>G17/P17</f>
        <v/>
      </c>
    </row>
    <row r="18">
      <c r="A18" t="inlineStr">
        <is>
          <t>Rab15</t>
        </is>
      </c>
      <c r="B18" t="n">
        <v>510</v>
      </c>
      <c r="C18" t="n">
        <v>900</v>
      </c>
      <c r="D18" t="n">
        <v>900</v>
      </c>
      <c r="E18" t="n">
        <v>900</v>
      </c>
      <c r="F18" t="n">
        <v>135</v>
      </c>
      <c r="G18" s="10">
        <f>B18/1000/$B$1</f>
        <v/>
      </c>
      <c r="H18" s="10">
        <f>C18/1000/$B$1</f>
        <v/>
      </c>
      <c r="I18" s="10">
        <f>D18/1000/$B$1</f>
        <v/>
      </c>
      <c r="J18" s="10">
        <f>E18/1000/$B$1</f>
        <v/>
      </c>
      <c r="K18" s="10">
        <f>F18/1000/$B$1</f>
        <v/>
      </c>
      <c r="L18" s="10">
        <f>G18*$B$4+H18*$B$5+I18*$B$6+J18*$B$7+K18*$B$8</f>
        <v/>
      </c>
      <c r="M18" s="10">
        <f>K18*$B$9*$B$10*$B$11</f>
        <v/>
      </c>
      <c r="N18" s="10">
        <f>L18-M18</f>
        <v/>
      </c>
      <c r="O18" s="10">
        <f>G18*$B$4/L18*100</f>
        <v/>
      </c>
      <c r="P18" t="n">
        <v>37.93</v>
      </c>
      <c r="Q18" s="5">
        <f>L18/P18</f>
        <v/>
      </c>
      <c r="R18" s="5">
        <f>N18/P18</f>
        <v/>
      </c>
      <c r="S18" s="5">
        <f>G18/P18</f>
        <v/>
      </c>
    </row>
    <row r="19">
      <c r="A19" t="inlineStr">
        <is>
          <t>Rab20*</t>
        </is>
      </c>
      <c r="B19" t="n">
        <v>480</v>
      </c>
      <c r="C19" t="n">
        <v>900</v>
      </c>
      <c r="D19" t="n">
        <v>900</v>
      </c>
      <c r="E19" t="n">
        <v>900</v>
      </c>
      <c r="F19" t="n">
        <v>180</v>
      </c>
      <c r="G19" s="10">
        <f>B19/1000/$B$1</f>
        <v/>
      </c>
      <c r="H19" s="10">
        <f>C19/1000/$B$1</f>
        <v/>
      </c>
      <c r="I19" s="10">
        <f>D19/1000/$B$1</f>
        <v/>
      </c>
      <c r="J19" s="10">
        <f>E19/1000/$B$1</f>
        <v/>
      </c>
      <c r="K19" s="10">
        <f>F19/1000/$B$1</f>
        <v/>
      </c>
      <c r="L19" s="10">
        <f>G19*$B$4+H19*$B$5+I19*$B$6+J19*$B$7+K19*$B$8</f>
        <v/>
      </c>
      <c r="M19" s="10">
        <f>K19*$B$9*$B$10*$B$11</f>
        <v/>
      </c>
      <c r="N19" s="10">
        <f>L19-M19</f>
        <v/>
      </c>
      <c r="O19" s="10">
        <f>G19*$B$4/L19*100</f>
        <v/>
      </c>
    </row>
    <row r="20">
      <c r="A20" t="inlineStr">
        <is>
          <t>Rab25*</t>
        </is>
      </c>
      <c r="B20" t="n">
        <v>450</v>
      </c>
      <c r="C20" t="n">
        <v>900</v>
      </c>
      <c r="D20" t="n">
        <v>900</v>
      </c>
      <c r="E20" t="n">
        <v>900</v>
      </c>
      <c r="F20" t="n">
        <v>225</v>
      </c>
      <c r="G20" s="10">
        <f>B20/1000/$B$1</f>
        <v/>
      </c>
      <c r="H20" s="10">
        <f>C20/1000/$B$1</f>
        <v/>
      </c>
      <c r="I20" s="10">
        <f>D20/1000/$B$1</f>
        <v/>
      </c>
      <c r="J20" s="10">
        <f>E20/1000/$B$1</f>
        <v/>
      </c>
      <c r="K20" s="10">
        <f>F20/1000/$B$1</f>
        <v/>
      </c>
      <c r="L20" s="10">
        <f>G20*$B$4+H20*$B$5+I20*$B$6+J20*$B$7+K20*$B$8</f>
        <v/>
      </c>
      <c r="M20" s="10">
        <f>K20*$B$9*$B$10*$B$11</f>
        <v/>
      </c>
      <c r="N20" s="10">
        <f>L20-M20</f>
        <v/>
      </c>
      <c r="O20" s="10">
        <f>G20*$B$4/L20*100</f>
        <v/>
      </c>
    </row>
    <row r="21">
      <c r="A21" t="inlineStr">
        <is>
          <t>RCA0</t>
        </is>
      </c>
      <c r="B21" t="n">
        <v>600</v>
      </c>
      <c r="C21" t="n">
        <v>900</v>
      </c>
      <c r="D21" t="n">
        <v>1800</v>
      </c>
      <c r="E21" t="n">
        <v>0</v>
      </c>
      <c r="F21" t="n">
        <v>48</v>
      </c>
      <c r="G21" s="10">
        <f>B21/1000/$B$1</f>
        <v/>
      </c>
      <c r="H21" s="10">
        <f>C21/1000/$B$1</f>
        <v/>
      </c>
      <c r="I21" s="10">
        <f>D21/1000/$B$1</f>
        <v/>
      </c>
      <c r="J21" s="10">
        <f>E21/1000/$B$1</f>
        <v/>
      </c>
      <c r="K21" s="10">
        <f>F21/1000/$B$1</f>
        <v/>
      </c>
      <c r="L21" s="10">
        <f>G21*$B$4+H21*$B$5+I21*$B$6+J21*$B$7+K21*$B$8</f>
        <v/>
      </c>
      <c r="M21" s="10">
        <f>K21*$B$9*$B$10*$B$11</f>
        <v/>
      </c>
      <c r="N21" s="10">
        <f>L21-M21</f>
        <v/>
      </c>
      <c r="O21" s="10">
        <f>G21*$B$4/L21*100</f>
        <v/>
      </c>
      <c r="P21" t="n">
        <v>55.43</v>
      </c>
      <c r="Q21" s="5">
        <f>L21/P21</f>
        <v/>
      </c>
      <c r="R21" s="5">
        <f>N21/P21</f>
        <v/>
      </c>
      <c r="S21" s="5">
        <f>G21/P21</f>
        <v/>
      </c>
    </row>
    <row r="22">
      <c r="A22" t="inlineStr">
        <is>
          <t>RCA5</t>
        </is>
      </c>
      <c r="B22" t="n">
        <v>600</v>
      </c>
      <c r="C22" t="n">
        <v>855</v>
      </c>
      <c r="D22" t="n">
        <v>1800</v>
      </c>
      <c r="E22" t="n">
        <v>45</v>
      </c>
      <c r="F22" t="n">
        <v>48</v>
      </c>
      <c r="G22" s="10">
        <f>B22/1000/$B$1</f>
        <v/>
      </c>
      <c r="H22" s="10">
        <f>C22/1000/$B$1</f>
        <v/>
      </c>
      <c r="I22" s="10">
        <f>D22/1000/$B$1</f>
        <v/>
      </c>
      <c r="J22" s="10">
        <f>E22/1000/$B$1</f>
        <v/>
      </c>
      <c r="K22" s="10">
        <f>F22/1000/$B$1</f>
        <v/>
      </c>
      <c r="L22" s="10">
        <f>G22*$B$4+H22*$B$5+I22*$B$6+J22*$B$7+K22*$B$8</f>
        <v/>
      </c>
      <c r="M22" s="10">
        <f>K22*$B$9*$B$10*$B$11</f>
        <v/>
      </c>
      <c r="N22" s="10">
        <f>L22-M22</f>
        <v/>
      </c>
      <c r="O22" s="10">
        <f>G22*$B$4/L22*100</f>
        <v/>
      </c>
      <c r="P22" t="n">
        <v>59.31</v>
      </c>
      <c r="Q22" s="5">
        <f>L22/P22</f>
        <v/>
      </c>
      <c r="R22" s="5">
        <f>N22/P22</f>
        <v/>
      </c>
      <c r="S22" s="5">
        <f>G22/P22</f>
        <v/>
      </c>
    </row>
    <row r="23">
      <c r="A23" t="inlineStr">
        <is>
          <t>RCA10</t>
        </is>
      </c>
      <c r="B23" t="n">
        <v>600</v>
      </c>
      <c r="C23" t="n">
        <v>810</v>
      </c>
      <c r="D23" t="n">
        <v>1800</v>
      </c>
      <c r="E23" t="n">
        <v>90</v>
      </c>
      <c r="F23" t="n">
        <v>48</v>
      </c>
      <c r="G23" s="10">
        <f>B23/1000/$B$1</f>
        <v/>
      </c>
      <c r="H23" s="10">
        <f>C23/1000/$B$1</f>
        <v/>
      </c>
      <c r="I23" s="10">
        <f>D23/1000/$B$1</f>
        <v/>
      </c>
      <c r="J23" s="10">
        <f>E23/1000/$B$1</f>
        <v/>
      </c>
      <c r="K23" s="10">
        <f>F23/1000/$B$1</f>
        <v/>
      </c>
      <c r="L23" s="10">
        <f>G23*$B$4+H23*$B$5+I23*$B$6+J23*$B$7+K23*$B$8</f>
        <v/>
      </c>
      <c r="M23" s="10">
        <f>K23*$B$9*$B$10*$B$11</f>
        <v/>
      </c>
      <c r="N23" s="10">
        <f>L23-M23</f>
        <v/>
      </c>
      <c r="O23" s="10">
        <f>G23*$B$4/L23*100</f>
        <v/>
      </c>
      <c r="P23" t="n">
        <v>61.34</v>
      </c>
      <c r="Q23" s="5">
        <f>L23/P23</f>
        <v/>
      </c>
      <c r="R23" s="5">
        <f>N23/P23</f>
        <v/>
      </c>
      <c r="S23" s="5">
        <f>G23/P23</f>
        <v/>
      </c>
    </row>
    <row r="24">
      <c r="A24" t="inlineStr">
        <is>
          <t>RCA15</t>
        </is>
      </c>
      <c r="B24" t="n">
        <v>600</v>
      </c>
      <c r="C24" t="n">
        <v>765</v>
      </c>
      <c r="D24" t="n">
        <v>1800</v>
      </c>
      <c r="E24" t="n">
        <v>135</v>
      </c>
      <c r="F24" t="n">
        <v>48</v>
      </c>
      <c r="G24" s="10">
        <f>B24/1000/$B$1</f>
        <v/>
      </c>
      <c r="H24" s="10">
        <f>C24/1000/$B$1</f>
        <v/>
      </c>
      <c r="I24" s="10">
        <f>D24/1000/$B$1</f>
        <v/>
      </c>
      <c r="J24" s="10">
        <f>E24/1000/$B$1</f>
        <v/>
      </c>
      <c r="K24" s="10">
        <f>F24/1000/$B$1</f>
        <v/>
      </c>
      <c r="L24" s="10">
        <f>G24*$B$4+H24*$B$5+I24*$B$6+J24*$B$7+K24*$B$8</f>
        <v/>
      </c>
      <c r="M24" s="10">
        <f>K24*$B$9*$B$10*$B$11</f>
        <v/>
      </c>
      <c r="N24" s="10">
        <f>L24-M24</f>
        <v/>
      </c>
      <c r="O24" s="10">
        <f>G24*$B$4/L24*100</f>
        <v/>
      </c>
      <c r="P24" t="n">
        <v>62.19</v>
      </c>
      <c r="Q24" s="5">
        <f>L24/P24</f>
        <v/>
      </c>
      <c r="R24" s="5">
        <f>N24/P24</f>
        <v/>
      </c>
      <c r="S24" s="5">
        <f>G24/P24</f>
        <v/>
      </c>
    </row>
    <row r="27">
      <c r="A27" s="4" t="inlineStr">
        <is>
          <t>* designed but not yet tested (no f_c). NA batch (600:1800:900) is inferred from the 1:3:1.5 ratio and is NOT printed in the draft [Place Holder].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14" customWidth="1" min="3" max="3"/>
    <col width="20" customWidth="1" min="4" max="4"/>
  </cols>
  <sheetData>
    <row r="1">
      <c r="A1" s="4" t="inlineStr">
        <is>
          <t>Biochar price ratio r (biochar / cement, per kg) [Place Holder]</t>
        </is>
      </c>
      <c r="B1" s="9" t="n">
        <v>0.5</v>
      </c>
    </row>
    <row r="2">
      <c r="A2" t="inlineStr">
        <is>
          <t>Sand/stone price (cement = 1)</t>
        </is>
      </c>
      <c r="B2" s="7" t="n">
        <v>0.1</v>
      </c>
    </row>
    <row r="3">
      <c r="A3" t="inlineStr">
        <is>
          <t>RCA price</t>
        </is>
      </c>
      <c r="B3" s="7" t="n">
        <v>0</v>
      </c>
    </row>
    <row r="5">
      <c r="A5" s="3" t="inlineStr">
        <is>
          <t>mix</t>
        </is>
      </c>
      <c r="B5" s="3" t="inlineStr">
        <is>
          <t>relative material cost (per m3)</t>
        </is>
      </c>
      <c r="C5" s="3" t="inlineStr">
        <is>
          <t>cost vs RA</t>
        </is>
      </c>
      <c r="D5" s="3" t="inlineStr">
        <is>
          <t>cost per MPa vs RA</t>
        </is>
      </c>
    </row>
    <row r="6">
      <c r="A6" t="inlineStr">
        <is>
          <t>RA</t>
        </is>
      </c>
      <c r="B6" s="10">
        <f>LCA!G15*1+(LCA!H15+LCA!I15)*$B$2+LCA!J15*$B$3+LCA!K15*$B$1</f>
        <v/>
      </c>
      <c r="C6" s="8">
        <f>B6/$B$6</f>
        <v/>
      </c>
      <c r="D6" s="8">
        <f>(B6/LCA!P15)/($B$6/LCA!P15)</f>
        <v/>
      </c>
    </row>
    <row r="7">
      <c r="A7" t="inlineStr">
        <is>
          <t>Rab5</t>
        </is>
      </c>
      <c r="B7" s="10">
        <f>LCA!G16*1+(LCA!H16+LCA!I16)*$B$2+LCA!J16*$B$3+LCA!K16*$B$1</f>
        <v/>
      </c>
      <c r="C7" s="8">
        <f>B7/$B$6</f>
        <v/>
      </c>
      <c r="D7" s="8">
        <f>(B7/LCA!P16)/($B$6/LCA!P15)</f>
        <v/>
      </c>
    </row>
    <row r="8">
      <c r="A8" t="inlineStr">
        <is>
          <t>Rab10</t>
        </is>
      </c>
      <c r="B8" s="10">
        <f>LCA!G17*1+(LCA!H17+LCA!I17)*$B$2+LCA!J17*$B$3+LCA!K17*$B$1</f>
        <v/>
      </c>
      <c r="C8" s="8">
        <f>B8/$B$6</f>
        <v/>
      </c>
      <c r="D8" s="8">
        <f>(B8/LCA!P17)/($B$6/LCA!P15)</f>
        <v/>
      </c>
    </row>
    <row r="9">
      <c r="A9" t="inlineStr">
        <is>
          <t>Rab15</t>
        </is>
      </c>
      <c r="B9" s="10">
        <f>LCA!G18*1+(LCA!H18+LCA!I18)*$B$2+LCA!J18*$B$3+LCA!K18*$B$1</f>
        <v/>
      </c>
      <c r="C9" s="8">
        <f>B9/$B$6</f>
        <v/>
      </c>
      <c r="D9" s="8">
        <f>(B9/LCA!P18)/($B$6/LCA!P15)</f>
        <v/>
      </c>
    </row>
    <row r="11">
      <c r="A11" t="inlineStr">
        <is>
          <t>Break-even r (Series I) = cement removed / biochar added = 30/45 = 0.667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</cols>
  <sheetData>
    <row r="1">
      <c r="A1" s="4" t="inlineStr">
        <is>
          <t>[Place Holder] — hypothetical BPN values; NOT measurements. 28-d anchors = the draft's example values (confirmed as examples by the researcher).</t>
        </is>
      </c>
    </row>
    <row r="2">
      <c r="A2" s="3" t="inlineStr">
        <is>
          <t>series</t>
        </is>
      </c>
      <c r="B2" s="3" t="inlineStr">
        <is>
          <t>mix</t>
        </is>
      </c>
      <c r="C2" s="3" t="inlineStr">
        <is>
          <t>age_d</t>
        </is>
      </c>
      <c r="D2" s="3" t="inlineStr">
        <is>
          <t>BPN dry</t>
        </is>
      </c>
      <c r="E2" s="3" t="inlineStr">
        <is>
          <t>SD dry</t>
        </is>
      </c>
      <c r="F2" s="3" t="inlineStr">
        <is>
          <t>BPN wet</t>
        </is>
      </c>
      <c r="G2" s="3" t="inlineStr">
        <is>
          <t>SD wet</t>
        </is>
      </c>
      <c r="H2" s="3" t="inlineStr">
        <is>
          <t>dry - wet</t>
        </is>
      </c>
      <c r="I2" s="3" t="inlineStr">
        <is>
          <t>status</t>
        </is>
      </c>
    </row>
    <row r="3">
      <c r="A3" s="4" t="inlineStr">
        <is>
          <t>I</t>
        </is>
      </c>
      <c r="B3" s="4" t="inlineStr">
        <is>
          <t>NA</t>
        </is>
      </c>
      <c r="C3" s="4" t="n">
        <v>7</v>
      </c>
      <c r="D3" s="4" t="n">
        <v>66.8</v>
      </c>
      <c r="E3" s="4" t="n">
        <v>1.7</v>
      </c>
      <c r="F3" s="4" t="n">
        <v>57.2</v>
      </c>
      <c r="G3" s="4" t="n">
        <v>2</v>
      </c>
      <c r="H3" s="4">
        <f>D3-F3</f>
        <v/>
      </c>
      <c r="I3" s="4" t="inlineStr">
        <is>
          <t>[Place Holder]</t>
        </is>
      </c>
    </row>
    <row r="4">
      <c r="A4" s="4" t="inlineStr">
        <is>
          <t>I</t>
        </is>
      </c>
      <c r="B4" s="4" t="inlineStr">
        <is>
          <t>NA</t>
        </is>
      </c>
      <c r="C4" s="4" t="n">
        <v>14</v>
      </c>
      <c r="D4" s="4" t="n">
        <v>67.8</v>
      </c>
      <c r="E4" s="4" t="n">
        <v>1.4</v>
      </c>
      <c r="F4" s="4" t="n">
        <v>58.3</v>
      </c>
      <c r="G4" s="4" t="n">
        <v>1.5</v>
      </c>
      <c r="H4" s="4">
        <f>D4-F4</f>
        <v/>
      </c>
      <c r="I4" s="4" t="inlineStr">
        <is>
          <t>[Place Holder]</t>
        </is>
      </c>
    </row>
    <row r="5">
      <c r="A5" s="4" t="inlineStr">
        <is>
          <t>I</t>
        </is>
      </c>
      <c r="B5" s="4" t="inlineStr">
        <is>
          <t>NA</t>
        </is>
      </c>
      <c r="C5" s="4" t="n">
        <v>28</v>
      </c>
      <c r="D5" s="4" t="n">
        <v>68.59999999999999</v>
      </c>
      <c r="E5" s="4" t="n">
        <v>1.1</v>
      </c>
      <c r="F5" s="4" t="n">
        <v>59.1</v>
      </c>
      <c r="G5" s="4" t="n">
        <v>1.8</v>
      </c>
      <c r="H5" s="4">
        <f>D5-F5</f>
        <v/>
      </c>
      <c r="I5" s="4" t="inlineStr">
        <is>
          <t>[Place Holder]</t>
        </is>
      </c>
    </row>
    <row r="6">
      <c r="A6" s="4" t="inlineStr">
        <is>
          <t>I</t>
        </is>
      </c>
      <c r="B6" s="4" t="inlineStr">
        <is>
          <t>RA</t>
        </is>
      </c>
      <c r="C6" s="4" t="n">
        <v>7</v>
      </c>
      <c r="D6" s="4" t="n">
        <v>66.3</v>
      </c>
      <c r="E6" s="4" t="n">
        <v>1.6</v>
      </c>
      <c r="F6" s="4" t="n">
        <v>55.4</v>
      </c>
      <c r="G6" s="4" t="n">
        <v>1.9</v>
      </c>
      <c r="H6" s="4">
        <f>D6-F6</f>
        <v/>
      </c>
      <c r="I6" s="4" t="inlineStr">
        <is>
          <t>[Place Holder]</t>
        </is>
      </c>
    </row>
    <row r="7">
      <c r="A7" s="4" t="inlineStr">
        <is>
          <t>I</t>
        </is>
      </c>
      <c r="B7" s="4" t="inlineStr">
        <is>
          <t>RA</t>
        </is>
      </c>
      <c r="C7" s="4" t="n">
        <v>14</v>
      </c>
      <c r="D7" s="4" t="n">
        <v>67.8</v>
      </c>
      <c r="E7" s="4" t="n">
        <v>1.3</v>
      </c>
      <c r="F7" s="4" t="n">
        <v>56.8</v>
      </c>
      <c r="G7" s="4" t="n">
        <v>1.4</v>
      </c>
      <c r="H7" s="4">
        <f>D7-F7</f>
        <v/>
      </c>
      <c r="I7" s="4" t="inlineStr">
        <is>
          <t>[Place Holder]</t>
        </is>
      </c>
    </row>
    <row r="8">
      <c r="A8" s="4" t="inlineStr">
        <is>
          <t>I</t>
        </is>
      </c>
      <c r="B8" s="4" t="inlineStr">
        <is>
          <t>RA</t>
        </is>
      </c>
      <c r="C8" s="4" t="n">
        <v>28</v>
      </c>
      <c r="D8" s="4" t="n">
        <v>69.5</v>
      </c>
      <c r="E8" s="4" t="n">
        <v>1</v>
      </c>
      <c r="F8" s="4" t="n">
        <v>58.8</v>
      </c>
      <c r="G8" s="4" t="n">
        <v>1.5</v>
      </c>
      <c r="H8" s="4">
        <f>D8-F8</f>
        <v/>
      </c>
      <c r="I8" s="4" t="inlineStr">
        <is>
          <t>[Place Holder]</t>
        </is>
      </c>
    </row>
    <row r="9">
      <c r="A9" s="4" t="inlineStr">
        <is>
          <t>I</t>
        </is>
      </c>
      <c r="B9" s="4" t="inlineStr">
        <is>
          <t>Rab5</t>
        </is>
      </c>
      <c r="C9" s="4" t="n">
        <v>7</v>
      </c>
      <c r="D9" s="4" t="n">
        <v>65</v>
      </c>
      <c r="E9" s="4" t="n">
        <v>1.1</v>
      </c>
      <c r="F9" s="4" t="n">
        <v>56.4</v>
      </c>
      <c r="G9" s="4" t="n">
        <v>1.9</v>
      </c>
      <c r="H9" s="4">
        <f>D9-F9</f>
        <v/>
      </c>
      <c r="I9" s="4" t="inlineStr">
        <is>
          <t>[Place Holder]</t>
        </is>
      </c>
    </row>
    <row r="10">
      <c r="A10" s="4" t="inlineStr">
        <is>
          <t>I</t>
        </is>
      </c>
      <c r="B10" s="4" t="inlineStr">
        <is>
          <t>Rab5</t>
        </is>
      </c>
      <c r="C10" s="4" t="n">
        <v>14</v>
      </c>
      <c r="D10" s="4" t="n">
        <v>66.5</v>
      </c>
      <c r="E10" s="4" t="n">
        <v>1.5</v>
      </c>
      <c r="F10" s="4" t="n">
        <v>57.7</v>
      </c>
      <c r="G10" s="4" t="n">
        <v>1.8</v>
      </c>
      <c r="H10" s="4">
        <f>D10-F10</f>
        <v/>
      </c>
      <c r="I10" s="4" t="inlineStr">
        <is>
          <t>[Place Holder]</t>
        </is>
      </c>
    </row>
    <row r="11">
      <c r="A11" s="4" t="inlineStr">
        <is>
          <t>I</t>
        </is>
      </c>
      <c r="B11" s="4" t="inlineStr">
        <is>
          <t>Rab5</t>
        </is>
      </c>
      <c r="C11" s="4" t="n">
        <v>28</v>
      </c>
      <c r="D11" s="4" t="n">
        <v>67.2</v>
      </c>
      <c r="E11" s="4" t="n">
        <v>1.4</v>
      </c>
      <c r="F11" s="4" t="n">
        <v>58.2</v>
      </c>
      <c r="G11" s="4" t="n">
        <v>2.2</v>
      </c>
      <c r="H11" s="4">
        <f>D11-F11</f>
        <v/>
      </c>
      <c r="I11" s="4" t="inlineStr">
        <is>
          <t>[Place Holder]</t>
        </is>
      </c>
    </row>
    <row r="12">
      <c r="A12" s="4" t="inlineStr">
        <is>
          <t>I</t>
        </is>
      </c>
      <c r="B12" s="4" t="inlineStr">
        <is>
          <t>Rab10</t>
        </is>
      </c>
      <c r="C12" s="4" t="n">
        <v>7</v>
      </c>
      <c r="D12" s="4" t="n">
        <v>63.5</v>
      </c>
      <c r="E12" s="4" t="n">
        <v>1.7</v>
      </c>
      <c r="F12" s="4" t="n">
        <v>53.8</v>
      </c>
      <c r="G12" s="4" t="n">
        <v>2</v>
      </c>
      <c r="H12" s="4">
        <f>D12-F12</f>
        <v/>
      </c>
      <c r="I12" s="4" t="inlineStr">
        <is>
          <t>[Place Holder]</t>
        </is>
      </c>
    </row>
    <row r="13">
      <c r="A13" s="4" t="inlineStr">
        <is>
          <t>I</t>
        </is>
      </c>
      <c r="B13" s="4" t="inlineStr">
        <is>
          <t>Rab10</t>
        </is>
      </c>
      <c r="C13" s="4" t="n">
        <v>14</v>
      </c>
      <c r="D13" s="4" t="n">
        <v>65.40000000000001</v>
      </c>
      <c r="E13" s="4" t="n">
        <v>1.4</v>
      </c>
      <c r="F13" s="4" t="n">
        <v>55.5</v>
      </c>
      <c r="G13" s="4" t="n">
        <v>1.9</v>
      </c>
      <c r="H13" s="4">
        <f>D13-F13</f>
        <v/>
      </c>
      <c r="I13" s="4" t="inlineStr">
        <is>
          <t>[Place Holder]</t>
        </is>
      </c>
    </row>
    <row r="14">
      <c r="A14" s="4" t="inlineStr">
        <is>
          <t>I</t>
        </is>
      </c>
      <c r="B14" s="4" t="inlineStr">
        <is>
          <t>Rab10</t>
        </is>
      </c>
      <c r="C14" s="4" t="n">
        <v>28</v>
      </c>
      <c r="D14" s="4" t="n">
        <v>65.5</v>
      </c>
      <c r="E14" s="4" t="n">
        <v>1.6</v>
      </c>
      <c r="F14" s="4" t="n">
        <v>55.6</v>
      </c>
      <c r="G14" s="4" t="n">
        <v>1.4</v>
      </c>
      <c r="H14" s="4">
        <f>D14-F14</f>
        <v/>
      </c>
      <c r="I14" s="4" t="inlineStr">
        <is>
          <t>[Place Holder]</t>
        </is>
      </c>
    </row>
    <row r="15">
      <c r="A15" s="4" t="inlineStr">
        <is>
          <t>I</t>
        </is>
      </c>
      <c r="B15" s="4" t="inlineStr">
        <is>
          <t>Rab15</t>
        </is>
      </c>
      <c r="C15" s="4" t="n">
        <v>7</v>
      </c>
      <c r="D15" s="4" t="n">
        <v>62</v>
      </c>
      <c r="E15" s="4" t="n">
        <v>1.3</v>
      </c>
      <c r="F15" s="4" t="n">
        <v>51.7</v>
      </c>
      <c r="G15" s="4" t="n">
        <v>1.4</v>
      </c>
      <c r="H15" s="4">
        <f>D15-F15</f>
        <v/>
      </c>
      <c r="I15" s="4" t="inlineStr">
        <is>
          <t>[Place Holder]</t>
        </is>
      </c>
    </row>
    <row r="16">
      <c r="A16" s="4" t="inlineStr">
        <is>
          <t>I</t>
        </is>
      </c>
      <c r="B16" s="4" t="inlineStr">
        <is>
          <t>Rab15</t>
        </is>
      </c>
      <c r="C16" s="4" t="n">
        <v>14</v>
      </c>
      <c r="D16" s="4" t="n">
        <v>62.9</v>
      </c>
      <c r="E16" s="4" t="n">
        <v>1.4</v>
      </c>
      <c r="F16" s="4" t="n">
        <v>52.7</v>
      </c>
      <c r="G16" s="4" t="n">
        <v>1.9</v>
      </c>
      <c r="H16" s="4">
        <f>D16-F16</f>
        <v/>
      </c>
      <c r="I16" s="4" t="inlineStr">
        <is>
          <t>[Place Holder]</t>
        </is>
      </c>
    </row>
    <row r="17">
      <c r="A17" s="4" t="inlineStr">
        <is>
          <t>I</t>
        </is>
      </c>
      <c r="B17" s="4" t="inlineStr">
        <is>
          <t>Rab15</t>
        </is>
      </c>
      <c r="C17" s="4" t="n">
        <v>28</v>
      </c>
      <c r="D17" s="4" t="n">
        <v>63.4</v>
      </c>
      <c r="E17" s="4" t="n">
        <v>1.3</v>
      </c>
      <c r="F17" s="4" t="n">
        <v>53.7</v>
      </c>
      <c r="G17" s="4" t="n">
        <v>1.4</v>
      </c>
      <c r="H17" s="4">
        <f>D17-F17</f>
        <v/>
      </c>
      <c r="I17" s="4" t="inlineStr">
        <is>
          <t>[Place Holder]</t>
        </is>
      </c>
    </row>
    <row r="18">
      <c r="A18" s="4" t="inlineStr">
        <is>
          <t>II</t>
        </is>
      </c>
      <c r="B18" s="4" t="inlineStr">
        <is>
          <t>RCA0</t>
        </is>
      </c>
      <c r="C18" s="4" t="n">
        <v>7</v>
      </c>
      <c r="D18" s="4" t="n">
        <v>64.8</v>
      </c>
      <c r="E18" s="4" t="n">
        <v>1.2</v>
      </c>
      <c r="F18" s="4" t="n">
        <v>56.4</v>
      </c>
      <c r="G18" s="4" t="n">
        <v>1.2</v>
      </c>
      <c r="H18" s="4">
        <f>D18-F18</f>
        <v/>
      </c>
      <c r="I18" s="4" t="inlineStr">
        <is>
          <t>[Place Holder]</t>
        </is>
      </c>
    </row>
    <row r="19">
      <c r="A19" s="4" t="inlineStr">
        <is>
          <t>II</t>
        </is>
      </c>
      <c r="B19" s="4" t="inlineStr">
        <is>
          <t>RCA0</t>
        </is>
      </c>
      <c r="C19" s="4" t="n">
        <v>14</v>
      </c>
      <c r="D19" s="4" t="n">
        <v>67.7</v>
      </c>
      <c r="E19" s="4" t="n">
        <v>1.1</v>
      </c>
      <c r="F19" s="4" t="n">
        <v>58.2</v>
      </c>
      <c r="G19" s="4" t="n">
        <v>2.1</v>
      </c>
      <c r="H19" s="4">
        <f>D19-F19</f>
        <v/>
      </c>
      <c r="I19" s="4" t="inlineStr">
        <is>
          <t>[Place Holder]</t>
        </is>
      </c>
    </row>
    <row r="20">
      <c r="A20" s="4" t="inlineStr">
        <is>
          <t>II</t>
        </is>
      </c>
      <c r="B20" s="4" t="inlineStr">
        <is>
          <t>RCA0</t>
        </is>
      </c>
      <c r="C20" s="4" t="n">
        <v>28</v>
      </c>
      <c r="D20" s="4" t="n">
        <v>68.7</v>
      </c>
      <c r="E20" s="4" t="n">
        <v>1.6</v>
      </c>
      <c r="F20" s="4" t="n">
        <v>59.4</v>
      </c>
      <c r="G20" s="4" t="n">
        <v>2.1</v>
      </c>
      <c r="H20" s="4">
        <f>D20-F20</f>
        <v/>
      </c>
      <c r="I20" s="4" t="inlineStr">
        <is>
          <t>[Place Holder]</t>
        </is>
      </c>
    </row>
    <row r="21">
      <c r="A21" s="4" t="inlineStr">
        <is>
          <t>II</t>
        </is>
      </c>
      <c r="B21" s="4" t="inlineStr">
        <is>
          <t>RCA5</t>
        </is>
      </c>
      <c r="C21" s="4" t="n">
        <v>7</v>
      </c>
      <c r="D21" s="4" t="n">
        <v>64</v>
      </c>
      <c r="E21" s="4" t="n">
        <v>1.5</v>
      </c>
      <c r="F21" s="4" t="n">
        <v>52.9</v>
      </c>
      <c r="G21" s="4" t="n">
        <v>2.1</v>
      </c>
      <c r="H21" s="4">
        <f>D21-F21</f>
        <v/>
      </c>
      <c r="I21" s="4" t="inlineStr">
        <is>
          <t>[Place Holder]</t>
        </is>
      </c>
    </row>
    <row r="22">
      <c r="A22" s="4" t="inlineStr">
        <is>
          <t>II</t>
        </is>
      </c>
      <c r="B22" s="4" t="inlineStr">
        <is>
          <t>RCA5</t>
        </is>
      </c>
      <c r="C22" s="4" t="n">
        <v>14</v>
      </c>
      <c r="D22" s="4" t="n">
        <v>66.8</v>
      </c>
      <c r="E22" s="4" t="n">
        <v>1.5</v>
      </c>
      <c r="F22" s="4" t="n">
        <v>55.1</v>
      </c>
      <c r="G22" s="4" t="n">
        <v>1.3</v>
      </c>
      <c r="H22" s="4">
        <f>D22-F22</f>
        <v/>
      </c>
      <c r="I22" s="4" t="inlineStr">
        <is>
          <t>[Place Holder]</t>
        </is>
      </c>
    </row>
    <row r="23">
      <c r="A23" s="4" t="inlineStr">
        <is>
          <t>II</t>
        </is>
      </c>
      <c r="B23" s="4" t="inlineStr">
        <is>
          <t>RCA5</t>
        </is>
      </c>
      <c r="C23" s="4" t="n">
        <v>28</v>
      </c>
      <c r="D23" s="4" t="n">
        <v>67.59999999999999</v>
      </c>
      <c r="E23" s="4" t="n">
        <v>1.4</v>
      </c>
      <c r="F23" s="4" t="n">
        <v>56.3</v>
      </c>
      <c r="G23" s="4" t="n">
        <v>1.8</v>
      </c>
      <c r="H23" s="4">
        <f>D23-F23</f>
        <v/>
      </c>
      <c r="I23" s="4" t="inlineStr">
        <is>
          <t>[Place Holder]</t>
        </is>
      </c>
    </row>
    <row r="24">
      <c r="A24" s="4" t="inlineStr">
        <is>
          <t>II</t>
        </is>
      </c>
      <c r="B24" s="4" t="inlineStr">
        <is>
          <t>RCA10</t>
        </is>
      </c>
      <c r="C24" s="4" t="n">
        <v>7</v>
      </c>
      <c r="D24" s="4" t="n">
        <v>59</v>
      </c>
      <c r="E24" s="4" t="n">
        <v>1.7</v>
      </c>
      <c r="F24" s="4" t="n">
        <v>50.9</v>
      </c>
      <c r="G24" s="4" t="n">
        <v>1.2</v>
      </c>
      <c r="H24" s="4">
        <f>D24-F24</f>
        <v/>
      </c>
      <c r="I24" s="4" t="inlineStr">
        <is>
          <t>[Place Holder]</t>
        </is>
      </c>
    </row>
    <row r="25">
      <c r="A25" s="4" t="inlineStr">
        <is>
          <t>II</t>
        </is>
      </c>
      <c r="B25" s="4" t="inlineStr">
        <is>
          <t>RCA10</t>
        </is>
      </c>
      <c r="C25" s="4" t="n">
        <v>14</v>
      </c>
      <c r="D25" s="4" t="n">
        <v>61.6</v>
      </c>
      <c r="E25" s="4" t="n">
        <v>1.6</v>
      </c>
      <c r="F25" s="4" t="n">
        <v>54</v>
      </c>
      <c r="G25" s="4" t="n">
        <v>1.6</v>
      </c>
      <c r="H25" s="4">
        <f>D25-F25</f>
        <v/>
      </c>
      <c r="I25" s="4" t="inlineStr">
        <is>
          <t>[Place Holder]</t>
        </is>
      </c>
    </row>
    <row r="26">
      <c r="A26" s="4" t="inlineStr">
        <is>
          <t>II</t>
        </is>
      </c>
      <c r="B26" s="4" t="inlineStr">
        <is>
          <t>RCA10</t>
        </is>
      </c>
      <c r="C26" s="4" t="n">
        <v>28</v>
      </c>
      <c r="D26" s="4" t="n">
        <v>62.4</v>
      </c>
      <c r="E26" s="4" t="n">
        <v>1.6</v>
      </c>
      <c r="F26" s="4" t="n">
        <v>54.7</v>
      </c>
      <c r="G26" s="4" t="n">
        <v>1.8</v>
      </c>
      <c r="H26" s="4">
        <f>D26-F26</f>
        <v/>
      </c>
      <c r="I26" s="4" t="inlineStr">
        <is>
          <t>[Place Holder]</t>
        </is>
      </c>
    </row>
    <row r="27">
      <c r="A27" s="4" t="inlineStr">
        <is>
          <t>II</t>
        </is>
      </c>
      <c r="B27" s="4" t="inlineStr">
        <is>
          <t>RCA15</t>
        </is>
      </c>
      <c r="C27" s="4" t="n">
        <v>7</v>
      </c>
      <c r="D27" s="4" t="n">
        <v>59</v>
      </c>
      <c r="E27" s="4" t="n">
        <v>1.6</v>
      </c>
      <c r="F27" s="4" t="n">
        <v>50.2</v>
      </c>
      <c r="G27" s="4" t="n">
        <v>1.7</v>
      </c>
      <c r="H27" s="4">
        <f>D27-F27</f>
        <v/>
      </c>
      <c r="I27" s="4" t="inlineStr">
        <is>
          <t>[Place Holder]</t>
        </is>
      </c>
    </row>
    <row r="28">
      <c r="A28" s="4" t="inlineStr">
        <is>
          <t>II</t>
        </is>
      </c>
      <c r="B28" s="4" t="inlineStr">
        <is>
          <t>RCA15</t>
        </is>
      </c>
      <c r="C28" s="4" t="n">
        <v>14</v>
      </c>
      <c r="D28" s="4" t="n">
        <v>61.1</v>
      </c>
      <c r="E28" s="4" t="n">
        <v>1.7</v>
      </c>
      <c r="F28" s="4" t="n">
        <v>51.3</v>
      </c>
      <c r="G28" s="4" t="n">
        <v>1.5</v>
      </c>
      <c r="H28" s="4">
        <f>D28-F28</f>
        <v/>
      </c>
      <c r="I28" s="4" t="inlineStr">
        <is>
          <t>[Place Holder]</t>
        </is>
      </c>
    </row>
    <row r="29">
      <c r="A29" s="4" t="inlineStr">
        <is>
          <t>II</t>
        </is>
      </c>
      <c r="B29" s="4" t="inlineStr">
        <is>
          <t>RCA15</t>
        </is>
      </c>
      <c r="C29" s="4" t="n">
        <v>28</v>
      </c>
      <c r="D29" s="4" t="n">
        <v>61.7</v>
      </c>
      <c r="E29" s="4" t="n">
        <v>1.7</v>
      </c>
      <c r="F29" s="4" t="n">
        <v>52.5</v>
      </c>
      <c r="G29" s="4" t="n">
        <v>2.1</v>
      </c>
      <c r="H29" s="4">
        <f>D29-F29</f>
        <v/>
      </c>
      <c r="I29" s="4" t="inlineStr">
        <is>
          <t>[Place Holder]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2026-10-02T11:07:27Z</dcterms:created>
  <dcterms:modified xmlns:dcterms="http://purl.org/dc/terms/" xmlns:xsi="http://www.w3.org/2001/XMLSchema-instance" xsi:type="dcterms:W3CDTF">2026-10-02T11:07:27Z</dcterms:modified>
</cp:coreProperties>
</file>